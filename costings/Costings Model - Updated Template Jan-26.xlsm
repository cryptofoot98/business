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pivotTables/pivotTable2.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workbookPr codeName="ThisWorkbook" hidePivotFieldList="1" defaultThemeVersion="166925"/>
  <mc:AlternateContent xmlns:mc="http://schemas.openxmlformats.org/markup-compatibility/2006">
    <mc:Choice Requires="x15">
      <x15ac:absPath xmlns:x15ac="http://schemas.microsoft.com/office/spreadsheetml/2010/11/ac" url="M:\3. MVF Price List\2026\New Product Template\"/>
    </mc:Choice>
  </mc:AlternateContent>
  <xr:revisionPtr revIDLastSave="0" documentId="13_ncr:1_{A1B49B66-74FC-40CF-B08C-020CA7546429}" xr6:coauthVersionLast="47" xr6:coauthVersionMax="47" xr10:uidLastSave="{00000000-0000-0000-0000-000000000000}"/>
  <bookViews>
    <workbookView xWindow="28680" yWindow="-120" windowWidth="29040" windowHeight="15720" tabRatio="552" xr2:uid="{00000000-000D-0000-FFFF-FFFF00000000}"/>
  </bookViews>
  <sheets>
    <sheet name="Costing Model" sheetId="2" r:id="rId1"/>
    <sheet name="Multiple Products" sheetId="1" state="hidden" r:id="rId2"/>
    <sheet name="Bulk Product Costing" sheetId="4" r:id="rId3"/>
    <sheet name="NPD Product Costing" sheetId="6" r:id="rId4"/>
    <sheet name="Workings" sheetId="3" r:id="rId5"/>
    <sheet name="DataFeed" sheetId="9" r:id="rId6"/>
    <sheet name="Data" sheetId="5" state="hidden" r:id="rId7"/>
    <sheet name="Sheet1 (2)" sheetId="8" state="hidden" r:id="rId8"/>
  </sheets>
  <definedNames>
    <definedName name="NativeTimeline_Starting_Date">#N/A</definedName>
    <definedName name="_xlnm.Print_Area" localSheetId="0">'Costing Model'!$A$1:$S$59</definedName>
    <definedName name="_xlnm.Print_Area" localSheetId="5">DataFeed!$A$1:$J$199</definedName>
    <definedName name="_xlnm.Print_Area" localSheetId="3">'NPD Product Costing'!$A$1:$S$58</definedName>
    <definedName name="Slicer_Vendor_No_">#N/A</definedName>
  </definedNames>
  <calcPr calcId="191029"/>
  <pivotCaches>
    <pivotCache cacheId="0" r:id="rId9"/>
    <pivotCache cacheId="91"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0" i="6" l="1"/>
  <c r="L29" i="6"/>
  <c r="L28" i="6"/>
  <c r="L27" i="6"/>
  <c r="L26" i="6"/>
  <c r="L42" i="4"/>
  <c r="L41" i="4"/>
  <c r="L40" i="4"/>
  <c r="L39" i="4"/>
  <c r="L38" i="4"/>
  <c r="L37" i="4"/>
  <c r="L36" i="4"/>
  <c r="L35" i="4"/>
  <c r="L34" i="4"/>
  <c r="L33" i="4"/>
  <c r="L30" i="2"/>
  <c r="L29" i="2"/>
  <c r="L28" i="2"/>
  <c r="L27" i="2"/>
  <c r="F27" i="6" l="1"/>
  <c r="F28" i="6"/>
  <c r="F29" i="6"/>
  <c r="F30" i="6"/>
  <c r="F26" i="6"/>
  <c r="G34" i="4"/>
  <c r="G35" i="4"/>
  <c r="G36" i="4"/>
  <c r="G37" i="4"/>
  <c r="G38" i="4"/>
  <c r="G39" i="4"/>
  <c r="G40" i="4"/>
  <c r="G41" i="4"/>
  <c r="G42" i="4"/>
  <c r="G33" i="4"/>
  <c r="F12" i="6"/>
  <c r="C16" i="4"/>
  <c r="G17" i="6" l="1"/>
  <c r="E21" i="3"/>
  <c r="E20" i="3" l="1"/>
  <c r="E19" i="3" l="1"/>
  <c r="E17" i="3"/>
  <c r="E18" i="3"/>
  <c r="E59" i="1"/>
  <c r="D59" i="1"/>
  <c r="E58" i="1"/>
  <c r="D58" i="1"/>
  <c r="E57" i="1"/>
  <c r="D57" i="1"/>
  <c r="E56" i="1"/>
  <c r="D56" i="1"/>
  <c r="E55" i="1"/>
  <c r="D55" i="1"/>
  <c r="E54" i="1"/>
  <c r="D54" i="1"/>
  <c r="E53" i="1"/>
  <c r="D53" i="1"/>
  <c r="E52" i="1"/>
  <c r="D52" i="1"/>
  <c r="E51" i="1"/>
  <c r="D51" i="1"/>
  <c r="E50" i="1"/>
  <c r="D50" i="1"/>
  <c r="E49" i="1"/>
  <c r="D49" i="1"/>
  <c r="E48" i="1"/>
  <c r="D48" i="1"/>
  <c r="E47" i="1"/>
  <c r="D47" i="1"/>
  <c r="E46" i="1"/>
  <c r="D46" i="1"/>
  <c r="D68" i="4"/>
  <c r="C68" i="4"/>
  <c r="D67" i="4"/>
  <c r="C67" i="4"/>
  <c r="D66" i="4"/>
  <c r="C66" i="4"/>
  <c r="D65" i="4"/>
  <c r="C65" i="4"/>
  <c r="D64" i="4"/>
  <c r="C64" i="4"/>
  <c r="D63" i="4"/>
  <c r="C63" i="4"/>
  <c r="D62" i="4"/>
  <c r="C62" i="4"/>
  <c r="D61" i="4"/>
  <c r="C61" i="4"/>
  <c r="D60" i="4"/>
  <c r="C60" i="4"/>
  <c r="D59" i="4"/>
  <c r="C59" i="4"/>
  <c r="D58" i="4"/>
  <c r="C58" i="4"/>
  <c r="D57" i="4"/>
  <c r="C57" i="4"/>
  <c r="D56" i="4"/>
  <c r="C56" i="4"/>
  <c r="D55" i="4"/>
  <c r="C55" i="4"/>
  <c r="D55" i="6"/>
  <c r="C55" i="6"/>
  <c r="D54" i="6"/>
  <c r="C54" i="6"/>
  <c r="D53" i="6"/>
  <c r="C53" i="6"/>
  <c r="D52" i="6"/>
  <c r="C52" i="6"/>
  <c r="D51" i="6"/>
  <c r="C51" i="6"/>
  <c r="D50" i="6"/>
  <c r="C50" i="6"/>
  <c r="D49" i="6"/>
  <c r="C49" i="6"/>
  <c r="D48" i="6"/>
  <c r="C48" i="6"/>
  <c r="D47" i="6"/>
  <c r="C47" i="6"/>
  <c r="D46" i="6"/>
  <c r="C46" i="6"/>
  <c r="D45" i="6"/>
  <c r="C45" i="6"/>
  <c r="D44" i="6"/>
  <c r="C44" i="6"/>
  <c r="D43" i="6"/>
  <c r="C43" i="6"/>
  <c r="D42" i="6"/>
  <c r="C42" i="6"/>
  <c r="C42" i="2"/>
  <c r="D42" i="2"/>
  <c r="F11" i="6"/>
  <c r="F11" i="2"/>
  <c r="K20" i="2" s="1"/>
  <c r="J21" i="2" a="1"/>
  <c r="J21" i="2" s="1"/>
  <c r="J20" i="2" a="1"/>
  <c r="J20" i="2" s="1"/>
  <c r="J19" i="2" a="1"/>
  <c r="J19" i="2" s="1"/>
  <c r="H28" i="2" s="1"/>
  <c r="J18" i="2" a="1"/>
  <c r="J18" i="2" s="1"/>
  <c r="J17" i="2" a="1"/>
  <c r="J17" i="2" s="1"/>
  <c r="C11" i="2" a="1"/>
  <c r="C11" i="2" s="1"/>
  <c r="C10" i="2" a="1"/>
  <c r="C10" i="2" s="1"/>
  <c r="F19" i="2" s="1"/>
  <c r="D55" i="2"/>
  <c r="D54" i="2"/>
  <c r="D53" i="2"/>
  <c r="D52" i="2"/>
  <c r="D51" i="2"/>
  <c r="D50" i="2"/>
  <c r="D49" i="2"/>
  <c r="D48" i="2"/>
  <c r="D47" i="2"/>
  <c r="D46" i="2"/>
  <c r="D45" i="2"/>
  <c r="C45" i="2"/>
  <c r="D44" i="2"/>
  <c r="D43" i="2"/>
  <c r="C55" i="2"/>
  <c r="C54" i="2"/>
  <c r="C53" i="2"/>
  <c r="C52" i="2"/>
  <c r="C51" i="2"/>
  <c r="C50" i="2"/>
  <c r="C49" i="2"/>
  <c r="C48" i="2"/>
  <c r="C47" i="2"/>
  <c r="C46" i="2"/>
  <c r="C44" i="2"/>
  <c r="C43" i="2"/>
  <c r="C13" i="2" a="1"/>
  <c r="C13" i="2" s="1"/>
  <c r="H7" i="6"/>
  <c r="H18" i="6"/>
  <c r="C27" i="6"/>
  <c r="E27" i="6"/>
  <c r="H19" i="6"/>
  <c r="C28" i="6"/>
  <c r="E28" i="6"/>
  <c r="H20" i="6"/>
  <c r="C29" i="6"/>
  <c r="E29" i="6"/>
  <c r="H21" i="6"/>
  <c r="C30" i="6"/>
  <c r="E30" i="6"/>
  <c r="H17" i="6"/>
  <c r="C26" i="6"/>
  <c r="E26" i="6"/>
  <c r="F2" i="3"/>
  <c r="F3" i="3"/>
  <c r="K21" i="6"/>
  <c r="K20" i="6"/>
  <c r="K19" i="6"/>
  <c r="K18" i="6"/>
  <c r="F10" i="6"/>
  <c r="K30" i="6"/>
  <c r="K29" i="6"/>
  <c r="K28" i="6"/>
  <c r="K27" i="6"/>
  <c r="K26" i="6"/>
  <c r="G26" i="6"/>
  <c r="F4" i="3"/>
  <c r="F5" i="3"/>
  <c r="F6" i="3"/>
  <c r="F7" i="3"/>
  <c r="F8" i="3"/>
  <c r="F9" i="3"/>
  <c r="F10" i="3"/>
  <c r="F11" i="3"/>
  <c r="F12" i="3"/>
  <c r="F13" i="3"/>
  <c r="F14" i="3"/>
  <c r="F15" i="3"/>
  <c r="F16" i="3"/>
  <c r="F17" i="3"/>
  <c r="I26" i="6"/>
  <c r="H26" i="6"/>
  <c r="K17" i="6"/>
  <c r="F17" i="6"/>
  <c r="J20" i="4" a="1"/>
  <c r="J20" i="4" s="1"/>
  <c r="K20" i="4" a="1"/>
  <c r="K20" i="4" s="1"/>
  <c r="O20" i="4" a="1"/>
  <c r="O20" i="4" s="1"/>
  <c r="I20" i="4" s="1"/>
  <c r="J21" i="4" a="1"/>
  <c r="J21" i="4" s="1"/>
  <c r="K21" i="4" a="1"/>
  <c r="K21" i="4" s="1"/>
  <c r="O21" i="4" a="1"/>
  <c r="O21" i="4" s="1"/>
  <c r="I21" i="4" s="1"/>
  <c r="J22" i="4" a="1"/>
  <c r="J22" i="4" s="1"/>
  <c r="K22" i="4" a="1"/>
  <c r="K22" i="4" s="1"/>
  <c r="O22" i="4" a="1"/>
  <c r="O22" i="4" s="1"/>
  <c r="I22" i="4" s="1"/>
  <c r="J23" i="4" a="1"/>
  <c r="J23" i="4" s="1"/>
  <c r="K23" i="4" a="1"/>
  <c r="K23" i="4" s="1"/>
  <c r="O23" i="4" a="1"/>
  <c r="O23" i="4" s="1"/>
  <c r="I23" i="4" s="1"/>
  <c r="J24" i="4" a="1"/>
  <c r="J24" i="4" s="1"/>
  <c r="K24" i="4" a="1"/>
  <c r="K24" i="4" s="1"/>
  <c r="O24" i="4" a="1"/>
  <c r="O24" i="4" s="1"/>
  <c r="I24" i="4" s="1"/>
  <c r="J25" i="4" a="1"/>
  <c r="J25" i="4" s="1"/>
  <c r="K25" i="4" a="1"/>
  <c r="K25" i="4" s="1"/>
  <c r="O25" i="4" a="1"/>
  <c r="O25" i="4" s="1"/>
  <c r="I25" i="4" s="1"/>
  <c r="J26" i="4" a="1"/>
  <c r="J26" i="4" s="1"/>
  <c r="K26" i="4" a="1"/>
  <c r="K26" i="4" s="1"/>
  <c r="O26" i="4" a="1"/>
  <c r="O26" i="4" s="1"/>
  <c r="I26" i="4" s="1"/>
  <c r="J27" i="4" a="1"/>
  <c r="J27" i="4" s="1"/>
  <c r="K27" i="4" a="1"/>
  <c r="K27" i="4" s="1"/>
  <c r="O27" i="4" a="1"/>
  <c r="O27" i="4" s="1"/>
  <c r="I27" i="4" s="1"/>
  <c r="J28" i="4" a="1"/>
  <c r="J28" i="4" s="1"/>
  <c r="K28" i="4" a="1"/>
  <c r="K28" i="4" s="1"/>
  <c r="O28" i="4" a="1"/>
  <c r="O28" i="4" s="1"/>
  <c r="I28" i="4" s="1"/>
  <c r="J19" i="4" a="1"/>
  <c r="J19" i="4" s="1"/>
  <c r="K19" i="4" a="1"/>
  <c r="K19" i="4" s="1"/>
  <c r="O19" i="4" a="1"/>
  <c r="O19" i="4" s="1"/>
  <c r="I19" i="4" s="1"/>
  <c r="E27" i="2"/>
  <c r="H7" i="2"/>
  <c r="E28" i="2"/>
  <c r="E29" i="2"/>
  <c r="E30" i="2"/>
  <c r="E26" i="2"/>
  <c r="C31" i="1"/>
  <c r="C32" i="1"/>
  <c r="C27" i="4" a="1"/>
  <c r="C27" i="4" s="1"/>
  <c r="C41" i="4" s="1"/>
  <c r="C19" i="4" a="1"/>
  <c r="C19" i="4" s="1"/>
  <c r="C33" i="4" s="1"/>
  <c r="C25" i="4" a="1"/>
  <c r="C25" i="4" s="1"/>
  <c r="C39" i="4" s="1"/>
  <c r="C21" i="4" a="1"/>
  <c r="C21" i="4" s="1"/>
  <c r="C35" i="4" s="1"/>
  <c r="N19" i="4" a="1"/>
  <c r="N19" i="4" s="1"/>
  <c r="H19" i="4" s="1"/>
  <c r="D9" i="1" a="1"/>
  <c r="D9" i="1" s="1"/>
  <c r="N26" i="4" a="1"/>
  <c r="N26" i="4" s="1"/>
  <c r="H26" i="4" s="1"/>
  <c r="N21" i="4" a="1"/>
  <c r="N21" i="4" s="1"/>
  <c r="H21" i="4" s="1"/>
  <c r="N25" i="4" a="1"/>
  <c r="N25" i="4" s="1"/>
  <c r="H25" i="4" s="1"/>
  <c r="C28" i="4" a="1"/>
  <c r="C28" i="4" s="1"/>
  <c r="C42" i="4" s="1"/>
  <c r="C20" i="4" a="1"/>
  <c r="C20" i="4" s="1"/>
  <c r="C34" i="4" s="1"/>
  <c r="N20" i="4" a="1"/>
  <c r="N20" i="4" s="1"/>
  <c r="H20" i="4" s="1"/>
  <c r="D10" i="1" a="1"/>
  <c r="D10" i="1" s="1"/>
  <c r="C22" i="4" a="1"/>
  <c r="C22" i="4" s="1"/>
  <c r="C36" i="4" s="1"/>
  <c r="C26" i="4" a="1"/>
  <c r="C26" i="4" s="1"/>
  <c r="C40" i="4" s="1"/>
  <c r="N22" i="4" a="1"/>
  <c r="N22" i="4" s="1"/>
  <c r="H22" i="4" s="1"/>
  <c r="N24" i="4" a="1"/>
  <c r="N24" i="4" s="1"/>
  <c r="H24" i="4" s="1"/>
  <c r="N23" i="4" a="1"/>
  <c r="N23" i="4" s="1"/>
  <c r="H23" i="4" s="1"/>
  <c r="C23" i="4" a="1"/>
  <c r="C23" i="4" s="1"/>
  <c r="C37" i="4" s="1"/>
  <c r="N27" i="4" a="1"/>
  <c r="N27" i="4" s="1"/>
  <c r="H27" i="4" s="1"/>
  <c r="N28" i="4" a="1"/>
  <c r="N28" i="4" s="1"/>
  <c r="H28" i="4" s="1"/>
  <c r="C24" i="4" a="1"/>
  <c r="C24" i="4" s="1"/>
  <c r="C38" i="4" s="1"/>
  <c r="G10" i="1" a="1"/>
  <c r="G10" i="1" s="1"/>
  <c r="N10" i="1" s="1"/>
  <c r="D7" i="1" a="1"/>
  <c r="D7" i="1" s="1"/>
  <c r="D8" i="1" a="1"/>
  <c r="D8" i="1" s="1"/>
  <c r="I9" i="1" a="1"/>
  <c r="I9" i="1" s="1"/>
  <c r="I8" i="1" a="1"/>
  <c r="I8" i="1" s="1"/>
  <c r="G7" i="1" a="1"/>
  <c r="G7" i="1" s="1"/>
  <c r="N7" i="1" s="1"/>
  <c r="G8" i="1" a="1"/>
  <c r="G8" i="1" s="1"/>
  <c r="N8" i="1" s="1"/>
  <c r="J9" i="1" a="1"/>
  <c r="J9" i="1" s="1"/>
  <c r="H10" i="1" a="1"/>
  <c r="H10" i="1" s="1"/>
  <c r="O10" i="1" s="1"/>
  <c r="I7" i="1" a="1"/>
  <c r="I7" i="1" s="1"/>
  <c r="H9" i="1" a="1"/>
  <c r="H9" i="1" s="1"/>
  <c r="O9" i="1" s="1"/>
  <c r="H7" i="1" a="1"/>
  <c r="H7" i="1" s="1"/>
  <c r="G9" i="1" a="1"/>
  <c r="G9" i="1" s="1"/>
  <c r="N9" i="1" s="1"/>
  <c r="H8" i="1" a="1"/>
  <c r="H8" i="1" s="1"/>
  <c r="I10" i="1" a="1"/>
  <c r="I10" i="1" s="1"/>
  <c r="J8" i="1" a="1"/>
  <c r="J8" i="1" s="1"/>
  <c r="J7" i="1" a="1"/>
  <c r="J7" i="1" s="1"/>
  <c r="J10" i="1" a="1"/>
  <c r="J10" i="1" s="1"/>
  <c r="C8" i="2" a="1"/>
  <c r="C8" i="2" s="1"/>
  <c r="B33" i="4"/>
  <c r="B34" i="4"/>
  <c r="B35" i="4"/>
  <c r="B36" i="4"/>
  <c r="B37" i="4"/>
  <c r="B38" i="4"/>
  <c r="B39" i="4"/>
  <c r="B40" i="4"/>
  <c r="B41" i="4"/>
  <c r="B42" i="4"/>
  <c r="H41" i="4"/>
  <c r="H40" i="4"/>
  <c r="H39" i="4"/>
  <c r="H38" i="4"/>
  <c r="H37" i="4"/>
  <c r="H36" i="4"/>
  <c r="H35" i="4"/>
  <c r="H34" i="4"/>
  <c r="G18" i="6"/>
  <c r="G19" i="6"/>
  <c r="G20" i="6"/>
  <c r="G21" i="6"/>
  <c r="F21" i="6"/>
  <c r="F20" i="6"/>
  <c r="F19" i="6"/>
  <c r="J34" i="4"/>
  <c r="J35" i="4"/>
  <c r="J36" i="4"/>
  <c r="J37" i="4"/>
  <c r="J38" i="4"/>
  <c r="J39" i="4"/>
  <c r="J40" i="4"/>
  <c r="J41" i="4"/>
  <c r="J42" i="4"/>
  <c r="J33" i="4"/>
  <c r="H30" i="6"/>
  <c r="H29" i="6"/>
  <c r="H28" i="6"/>
  <c r="H27" i="6"/>
  <c r="I33" i="4"/>
  <c r="F34" i="4"/>
  <c r="F35" i="4"/>
  <c r="F36" i="4"/>
  <c r="F37" i="4"/>
  <c r="F38" i="4"/>
  <c r="F39" i="4"/>
  <c r="F40" i="4"/>
  <c r="F41" i="4"/>
  <c r="F42" i="4"/>
  <c r="F33" i="4"/>
  <c r="P19" i="4"/>
  <c r="H33" i="4"/>
  <c r="Q24" i="4"/>
  <c r="Q23" i="4"/>
  <c r="Q22" i="4"/>
  <c r="Q21" i="4"/>
  <c r="Q20" i="4"/>
  <c r="Q19" i="4"/>
  <c r="P20" i="4"/>
  <c r="P21" i="4"/>
  <c r="P22" i="4"/>
  <c r="P23" i="4"/>
  <c r="P24" i="4"/>
  <c r="P25" i="4"/>
  <c r="P26" i="4"/>
  <c r="P27" i="4"/>
  <c r="P28" i="4"/>
  <c r="R17" i="6"/>
  <c r="R21" i="6"/>
  <c r="R20" i="6"/>
  <c r="R19" i="6"/>
  <c r="R18" i="6"/>
  <c r="F18" i="6"/>
  <c r="C30" i="1"/>
  <c r="C29" i="1"/>
  <c r="H42" i="4"/>
  <c r="G30" i="6"/>
  <c r="G29" i="6"/>
  <c r="I28" i="6"/>
  <c r="G28" i="6"/>
  <c r="G27" i="6"/>
  <c r="J29" i="1"/>
  <c r="K29" i="1"/>
  <c r="E31" i="1"/>
  <c r="E30" i="1"/>
  <c r="E29" i="1"/>
  <c r="E32" i="1"/>
  <c r="I27" i="6"/>
  <c r="I29" i="6"/>
  <c r="I30" i="6"/>
  <c r="R21" i="2"/>
  <c r="R20" i="2"/>
  <c r="R19" i="2"/>
  <c r="R18" i="2"/>
  <c r="R17" i="2"/>
  <c r="P8" i="1"/>
  <c r="P7" i="1"/>
  <c r="I29" i="1"/>
  <c r="I32" i="1"/>
  <c r="I31" i="1"/>
  <c r="I30" i="1"/>
  <c r="E15" i="3"/>
  <c r="Q25" i="4"/>
  <c r="Q26" i="4"/>
  <c r="Q27" i="4"/>
  <c r="Q28" i="4"/>
  <c r="P9" i="1"/>
  <c r="P10" i="1"/>
  <c r="I34" i="4"/>
  <c r="I35" i="4"/>
  <c r="I36" i="4"/>
  <c r="I37" i="4"/>
  <c r="I38" i="4"/>
  <c r="I39" i="4"/>
  <c r="I40" i="4"/>
  <c r="I41" i="4"/>
  <c r="I42" i="4"/>
  <c r="E16" i="3"/>
  <c r="E14" i="3"/>
  <c r="E13" i="3"/>
  <c r="R8" i="1"/>
  <c r="U8" i="1"/>
  <c r="R9" i="1"/>
  <c r="R10" i="1"/>
  <c r="R7" i="1"/>
  <c r="K30" i="1"/>
  <c r="K31" i="1"/>
  <c r="K32" i="1"/>
  <c r="J30" i="1"/>
  <c r="J31" i="1"/>
  <c r="J32" i="1"/>
  <c r="F27" i="2" l="1"/>
  <c r="F26" i="2"/>
  <c r="F30" i="2"/>
  <c r="F28" i="2"/>
  <c r="F29" i="2"/>
  <c r="U9" i="1"/>
  <c r="J26" i="6"/>
  <c r="J28" i="6"/>
  <c r="J27" i="6"/>
  <c r="G26" i="2"/>
  <c r="G29" i="2"/>
  <c r="G30" i="2"/>
  <c r="G27" i="2"/>
  <c r="G28" i="2"/>
  <c r="K21" i="2"/>
  <c r="D30" i="6"/>
  <c r="D26" i="6"/>
  <c r="D28" i="6"/>
  <c r="D27" i="6"/>
  <c r="U10" i="1"/>
  <c r="U7" i="1"/>
  <c r="D29" i="6"/>
  <c r="K17" i="2"/>
  <c r="K19" i="2"/>
  <c r="K18" i="2"/>
  <c r="N26" i="6"/>
  <c r="J29" i="2"/>
  <c r="J29" i="6"/>
  <c r="J30" i="6"/>
  <c r="J28" i="2"/>
  <c r="I28" i="2"/>
  <c r="F17" i="2"/>
  <c r="F21" i="2"/>
  <c r="H26" i="2"/>
  <c r="I26" i="2"/>
  <c r="F10" i="2"/>
  <c r="K28" i="2" s="1"/>
  <c r="D42" i="4"/>
  <c r="E42" i="4" s="1"/>
  <c r="D29" i="1"/>
  <c r="S7" i="1" s="1"/>
  <c r="D40" i="4"/>
  <c r="E40" i="4" s="1"/>
  <c r="J33" i="1"/>
  <c r="D36" i="4"/>
  <c r="D39" i="4"/>
  <c r="E39" i="4" s="1"/>
  <c r="H19" i="2"/>
  <c r="C28" i="2" s="1"/>
  <c r="D28" i="2" s="1"/>
  <c r="H20" i="2"/>
  <c r="C29" i="2" s="1"/>
  <c r="H17" i="2"/>
  <c r="C26" i="2" s="1"/>
  <c r="F12" i="2" s="1"/>
  <c r="H21" i="2"/>
  <c r="C30" i="2" s="1"/>
  <c r="D30" i="2" s="1"/>
  <c r="H18" i="2"/>
  <c r="C27" i="2" s="1"/>
  <c r="D27" i="2" s="1"/>
  <c r="T7" i="1"/>
  <c r="T10" i="1"/>
  <c r="D32" i="1"/>
  <c r="S10" i="1" s="1"/>
  <c r="F32" i="1" s="1"/>
  <c r="O8" i="1"/>
  <c r="D30" i="1"/>
  <c r="S8" i="1" s="1"/>
  <c r="F30" i="1" s="1"/>
  <c r="D33" i="4"/>
  <c r="E33" i="4" s="1"/>
  <c r="T8" i="1"/>
  <c r="D35" i="4"/>
  <c r="E35" i="4" s="1"/>
  <c r="D31" i="1"/>
  <c r="S9" i="1" s="1"/>
  <c r="F31" i="1" s="1"/>
  <c r="I33" i="1"/>
  <c r="K33" i="1"/>
  <c r="T9" i="1"/>
  <c r="E33" i="1"/>
  <c r="D23" i="1"/>
  <c r="O7" i="1"/>
  <c r="G18" i="2"/>
  <c r="G20" i="2"/>
  <c r="G19" i="2"/>
  <c r="G17" i="2"/>
  <c r="G21" i="2"/>
  <c r="D41" i="4"/>
  <c r="E41" i="4" s="1"/>
  <c r="D38" i="4"/>
  <c r="E38" i="4" s="1"/>
  <c r="D37" i="4"/>
  <c r="E37" i="4" s="1"/>
  <c r="D34" i="4"/>
  <c r="E34" i="4" s="1"/>
  <c r="H29" i="2"/>
  <c r="I29" i="2"/>
  <c r="F20" i="2"/>
  <c r="F18" i="2"/>
  <c r="H27" i="2"/>
  <c r="I27" i="2"/>
  <c r="I30" i="2"/>
  <c r="H30" i="2"/>
  <c r="K36" i="4" l="1"/>
  <c r="E36" i="4"/>
  <c r="J26" i="2"/>
  <c r="J27" i="2"/>
  <c r="M27" i="2" s="1"/>
  <c r="O27" i="2" s="1"/>
  <c r="D26" i="2"/>
  <c r="J30" i="2"/>
  <c r="N30" i="2" s="1"/>
  <c r="N28" i="6"/>
  <c r="K42" i="4"/>
  <c r="U11" i="1"/>
  <c r="L29" i="1" s="1"/>
  <c r="K29" i="2"/>
  <c r="G32" i="1"/>
  <c r="G31" i="1"/>
  <c r="G30" i="1"/>
  <c r="G29" i="1"/>
  <c r="N29" i="6"/>
  <c r="M26" i="6"/>
  <c r="O26" i="6" s="1"/>
  <c r="N30" i="6"/>
  <c r="M30" i="6"/>
  <c r="O30" i="6" s="1"/>
  <c r="M27" i="6"/>
  <c r="O27" i="6" s="1"/>
  <c r="N27" i="6"/>
  <c r="K27" i="2"/>
  <c r="N36" i="4"/>
  <c r="K30" i="2"/>
  <c r="K26" i="2"/>
  <c r="D33" i="1"/>
  <c r="N28" i="2"/>
  <c r="K40" i="4"/>
  <c r="N40" i="4" s="1"/>
  <c r="K35" i="4"/>
  <c r="K33" i="4"/>
  <c r="T11" i="1"/>
  <c r="S11" i="1"/>
  <c r="F29" i="1"/>
  <c r="F33" i="1" s="1"/>
  <c r="K39" i="4"/>
  <c r="K37" i="4"/>
  <c r="K38" i="4"/>
  <c r="K41" i="4"/>
  <c r="H30" i="1"/>
  <c r="H32" i="1"/>
  <c r="H31" i="1"/>
  <c r="H29" i="1"/>
  <c r="D29" i="2"/>
  <c r="K34" i="4"/>
  <c r="L26" i="2" l="1"/>
  <c r="M26" i="2" s="1"/>
  <c r="O26" i="2" s="1"/>
  <c r="M28" i="6"/>
  <c r="O28" i="6" s="1"/>
  <c r="M29" i="6"/>
  <c r="O29" i="6" s="1"/>
  <c r="L31" i="1"/>
  <c r="M31" i="1" s="1"/>
  <c r="L32" i="1"/>
  <c r="M32" i="1" s="1"/>
  <c r="O32" i="1" s="1"/>
  <c r="L30" i="1"/>
  <c r="M28" i="2"/>
  <c r="O28" i="2" s="1"/>
  <c r="M30" i="2"/>
  <c r="O30" i="2" s="1"/>
  <c r="M39" i="4"/>
  <c r="O39" i="4" s="1"/>
  <c r="M37" i="4"/>
  <c r="O37" i="4" s="1"/>
  <c r="N27" i="2"/>
  <c r="M36" i="4"/>
  <c r="O36" i="4" s="1"/>
  <c r="M34" i="4"/>
  <c r="O34" i="4" s="1"/>
  <c r="M35" i="4"/>
  <c r="O35" i="4" s="1"/>
  <c r="M40" i="4"/>
  <c r="O40" i="4" s="1"/>
  <c r="H33" i="1"/>
  <c r="N41" i="4"/>
  <c r="M38" i="4"/>
  <c r="O38" i="4" s="1"/>
  <c r="M33" i="4"/>
  <c r="O33" i="4" s="1"/>
  <c r="N33" i="4"/>
  <c r="M29" i="2"/>
  <c r="O29" i="2" s="1"/>
  <c r="N29" i="2"/>
  <c r="G33" i="1"/>
  <c r="M29" i="1"/>
  <c r="N42" i="4"/>
  <c r="M42" i="4"/>
  <c r="O42" i="4" s="1"/>
  <c r="N26" i="2" l="1"/>
  <c r="L33" i="1"/>
  <c r="M30" i="1"/>
  <c r="O30" i="1" s="1"/>
  <c r="N39" i="4"/>
  <c r="N37" i="4"/>
  <c r="N34" i="4"/>
  <c r="N38" i="4"/>
  <c r="M41" i="4"/>
  <c r="O41" i="4" s="1"/>
  <c r="N35" i="4"/>
  <c r="N32" i="1"/>
  <c r="P32" i="1" s="1"/>
  <c r="N29" i="1"/>
  <c r="P29" i="1" s="1"/>
  <c r="O29" i="1"/>
  <c r="M33" i="1"/>
  <c r="N31" i="1"/>
  <c r="P31" i="1" s="1"/>
  <c r="O31" i="1"/>
  <c r="N30" i="1" l="1"/>
  <c r="P30"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Georgia Jones</author>
    <author>Eric Tavares</author>
  </authors>
  <commentList>
    <comment ref="F7" authorId="0" shapeId="0" xr:uid="{00000000-0006-0000-0000-000001000000}">
      <text>
        <r>
          <rPr>
            <b/>
            <sz val="9"/>
            <color indexed="81"/>
            <rFont val="Tahoma"/>
            <family val="2"/>
          </rPr>
          <t>Georgia Jones:</t>
        </r>
        <r>
          <rPr>
            <sz val="9"/>
            <color indexed="81"/>
            <rFont val="Tahoma"/>
            <family val="2"/>
          </rPr>
          <t xml:space="preserve">
This section allows you to estimate the cost of the container using either Full Duty or Licence</t>
        </r>
      </text>
    </comment>
    <comment ref="F8" authorId="0" shapeId="0" xr:uid="{00000000-0006-0000-0000-000002000000}">
      <text>
        <r>
          <rPr>
            <b/>
            <sz val="9"/>
            <color indexed="81"/>
            <rFont val="Tahoma"/>
            <family val="2"/>
          </rPr>
          <t>Georgia Jones:</t>
        </r>
        <r>
          <rPr>
            <sz val="9"/>
            <color indexed="81"/>
            <rFont val="Tahoma"/>
            <family val="2"/>
          </rPr>
          <t xml:space="preserve">
This section will determine whether the total cost of the container should include the additional costs or not.
Selecting yes from the drop down will remove the additional costs.</t>
        </r>
      </text>
    </comment>
    <comment ref="C9" authorId="0" shapeId="0" xr:uid="{00000000-0006-0000-0000-000003000000}">
      <text>
        <r>
          <rPr>
            <b/>
            <sz val="9"/>
            <color indexed="81"/>
            <rFont val="Tahoma"/>
            <family val="2"/>
          </rPr>
          <t>Georgia Jones:</t>
        </r>
        <r>
          <rPr>
            <sz val="9"/>
            <color indexed="81"/>
            <rFont val="Tahoma"/>
            <family val="2"/>
          </rPr>
          <t xml:space="preserve">
This section is used to accurately calculate the duty cost of each product. 
Please ensure that you have selected the correct "Meat Content" from the drop down.</t>
        </r>
      </text>
    </comment>
    <comment ref="F9" authorId="0" shapeId="0" xr:uid="{00000000-0006-0000-0000-000004000000}">
      <text>
        <r>
          <rPr>
            <b/>
            <sz val="9"/>
            <color indexed="81"/>
            <rFont val="Tahoma"/>
            <family val="2"/>
          </rPr>
          <t>Georgia Jones:</t>
        </r>
        <r>
          <rPr>
            <sz val="9"/>
            <color indexed="81"/>
            <rFont val="Tahoma"/>
            <family val="2"/>
          </rPr>
          <t xml:space="preserve">
Don't forget to change this to "No" if it is a direct delivery.</t>
        </r>
      </text>
    </comment>
    <comment ref="C10" authorId="0" shapeId="0" xr:uid="{00000000-0006-0000-0000-000005000000}">
      <text>
        <r>
          <rPr>
            <b/>
            <sz val="9"/>
            <color indexed="81"/>
            <rFont val="Tahoma"/>
            <family val="2"/>
          </rPr>
          <t>Georgia Jones:</t>
        </r>
        <r>
          <rPr>
            <sz val="9"/>
            <color indexed="81"/>
            <rFont val="Tahoma"/>
            <family val="2"/>
          </rPr>
          <t xml:space="preserve">
This section is required to calculate the total gross weight of the container. </t>
        </r>
      </text>
    </comment>
    <comment ref="F11" authorId="1" shapeId="0" xr:uid="{00000000-0006-0000-0000-000006000000}">
      <text>
        <r>
          <rPr>
            <b/>
            <sz val="9"/>
            <color indexed="81"/>
            <rFont val="Tahoma"/>
            <family val="2"/>
          </rPr>
          <t>Eric Tavares:</t>
        </r>
        <r>
          <rPr>
            <sz val="9"/>
            <color indexed="81"/>
            <rFont val="Tahoma"/>
            <family val="2"/>
          </rPr>
          <t xml:space="preserve">
This field can't be left as blank. 
If there's no Additional Duty, then leave as </t>
        </r>
        <r>
          <rPr>
            <b/>
            <sz val="9"/>
            <color indexed="81"/>
            <rFont val="Tahoma"/>
            <family val="2"/>
          </rPr>
          <t>0</t>
        </r>
        <r>
          <rPr>
            <sz val="9"/>
            <color indexed="81"/>
            <rFont val="Tahoma"/>
            <family val="2"/>
          </rPr>
          <t>.</t>
        </r>
      </text>
    </comment>
    <comment ref="E16" authorId="0" shapeId="0" xr:uid="{00000000-0006-0000-0000-000007000000}">
      <text>
        <r>
          <rPr>
            <b/>
            <sz val="9"/>
            <color indexed="81"/>
            <rFont val="Tahoma"/>
            <family val="2"/>
          </rPr>
          <t>Georgia Jones:</t>
        </r>
        <r>
          <rPr>
            <sz val="9"/>
            <color indexed="81"/>
            <rFont val="Tahoma"/>
            <family val="2"/>
          </rPr>
          <t xml:space="preserve">
This can be entered in either currency.</t>
        </r>
      </text>
    </comment>
    <comment ref="N16" authorId="0" shapeId="0" xr:uid="{00000000-0006-0000-0000-000008000000}">
      <text>
        <r>
          <rPr>
            <b/>
            <sz val="9"/>
            <color indexed="81"/>
            <rFont val="Tahoma"/>
            <family val="2"/>
          </rPr>
          <t>Georgia Jones:</t>
        </r>
        <r>
          <rPr>
            <sz val="9"/>
            <color indexed="81"/>
            <rFont val="Tahoma"/>
            <family val="2"/>
          </rPr>
          <t xml:space="preserve">
The costs vary slightly across each of the different customs agent.
- Majority of the containers delivered to the UK are cleared using AGT
- Deliveries into France are Seafrigo</t>
        </r>
      </text>
    </comment>
    <comment ref="D39" authorId="1" shapeId="0" xr:uid="{8C43F269-2746-4041-A9D0-9A44A4D6308A}">
      <text>
        <r>
          <rPr>
            <b/>
            <sz val="9"/>
            <color indexed="81"/>
            <rFont val="Tahoma"/>
            <family val="2"/>
          </rPr>
          <t>£25 Added per load for VBS Booking.
IF IT'S EWL.</t>
        </r>
        <r>
          <rPr>
            <sz val="9"/>
            <color indexed="81"/>
            <rFont val="Tahoma"/>
            <family val="2"/>
          </rPr>
          <t xml:space="preserve">
</t>
        </r>
      </text>
    </comment>
    <comment ref="B40" authorId="1" shapeId="0" xr:uid="{CC493847-4609-4889-9223-80375E249537}">
      <text>
        <r>
          <rPr>
            <b/>
            <sz val="9"/>
            <color indexed="81"/>
            <rFont val="Tahoma"/>
            <family val="2"/>
          </rPr>
          <t>Eric Tavares:</t>
        </r>
        <r>
          <rPr>
            <sz val="9"/>
            <color indexed="81"/>
            <rFont val="Tahoma"/>
            <family val="2"/>
          </rPr>
          <t xml:space="preserve">
If Shipping Line is Hapag, then add £85 on top.</t>
        </r>
      </text>
    </comment>
    <comment ref="J41" authorId="1" shapeId="0" xr:uid="{0BAEE268-DCAB-46FA-BF76-415AD4091C9C}">
      <text>
        <r>
          <rPr>
            <b/>
            <sz val="14"/>
            <color indexed="81"/>
            <rFont val="Tahoma"/>
            <family val="2"/>
          </rPr>
          <t>FAR LOGISTICS</t>
        </r>
      </text>
    </comment>
    <comment ref="J43" authorId="1" shapeId="0" xr:uid="{0FF098F9-EE33-48F0-A7FA-74354431D48A}">
      <text>
        <r>
          <rPr>
            <b/>
            <sz val="9"/>
            <color indexed="81"/>
            <rFont val="Tahoma"/>
            <family val="2"/>
          </rPr>
          <t>Eric Tavares:</t>
        </r>
        <r>
          <rPr>
            <sz val="9"/>
            <color indexed="81"/>
            <rFont val="Tahoma"/>
            <family val="2"/>
          </rPr>
          <t xml:space="preserve">
 includes Documentation, Customs Clearance</t>
        </r>
      </text>
    </comment>
    <comment ref="E48" authorId="1" shapeId="0" xr:uid="{4E0AFDAC-7B61-422F-BA7E-E8DAFFAFE233}">
      <text>
        <r>
          <rPr>
            <b/>
            <sz val="12"/>
            <color indexed="81"/>
            <rFont val="Tahoma"/>
            <family val="2"/>
          </rPr>
          <t>EWL COSTS FOR DUBLIN:</t>
        </r>
        <r>
          <rPr>
            <sz val="9"/>
            <color indexed="81"/>
            <rFont val="Tahoma"/>
            <family val="2"/>
          </rPr>
          <t xml:space="preserve">
</t>
        </r>
        <r>
          <rPr>
            <sz val="12"/>
            <color indexed="81"/>
            <rFont val="Tahoma"/>
            <family val="2"/>
          </rPr>
          <t xml:space="preserve">
</t>
        </r>
        <r>
          <rPr>
            <b/>
            <sz val="12"/>
            <color indexed="81"/>
            <rFont val="Tahoma"/>
            <family val="2"/>
          </rPr>
          <t>£825.00</t>
        </r>
        <r>
          <rPr>
            <sz val="12"/>
            <color indexed="81"/>
            <rFont val="Tahoma"/>
            <family val="2"/>
          </rPr>
          <t xml:space="preserve"> (INCLUDING PORT HEALTH)</t>
        </r>
        <r>
          <rPr>
            <sz val="9"/>
            <color indexed="81"/>
            <rFont val="Tahoma"/>
            <family val="2"/>
          </rPr>
          <t xml:space="preserve">
</t>
        </r>
      </text>
    </comment>
    <comment ref="B56" authorId="1" shapeId="0" xr:uid="{00000000-0006-0000-0000-000009000000}">
      <text>
        <r>
          <rPr>
            <b/>
            <sz val="9"/>
            <color indexed="81"/>
            <rFont val="Tahoma"/>
            <family val="2"/>
          </rPr>
          <t>Eric Tavares:</t>
        </r>
        <r>
          <rPr>
            <sz val="9"/>
            <color indexed="81"/>
            <rFont val="Tahoma"/>
            <family val="2"/>
          </rPr>
          <t xml:space="preserve">
JR - 07/JUN</t>
        </r>
      </text>
    </comment>
    <comment ref="B57" authorId="1" shapeId="0" xr:uid="{00000000-0006-0000-0000-00000A000000}">
      <text>
        <r>
          <rPr>
            <b/>
            <sz val="9"/>
            <color indexed="81"/>
            <rFont val="Tahoma"/>
            <family val="2"/>
          </rPr>
          <t>Eric Tavares:</t>
        </r>
        <r>
          <rPr>
            <sz val="9"/>
            <color indexed="81"/>
            <rFont val="Tahoma"/>
            <family val="2"/>
          </rPr>
          <t xml:space="preserve">
JR - 07/JUN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Georgia Jones</author>
    <author>Eric Tavares</author>
  </authors>
  <commentList>
    <comment ref="F6" authorId="0" shapeId="0" xr:uid="{00000000-0006-0000-0100-000001000000}">
      <text>
        <r>
          <rPr>
            <b/>
            <sz val="9"/>
            <color indexed="81"/>
            <rFont val="Tahoma"/>
            <family val="2"/>
          </rPr>
          <t>Georgia Jones:</t>
        </r>
        <r>
          <rPr>
            <sz val="9"/>
            <color indexed="81"/>
            <rFont val="Tahoma"/>
            <family val="2"/>
          </rPr>
          <t xml:space="preserve">
This section is used to accurately calculate the duty cost of each product. 
Please ensure that you have selected the correct "Meat Content" from the drop down.</t>
        </r>
      </text>
    </comment>
    <comment ref="G6" authorId="0" shapeId="0" xr:uid="{00000000-0006-0000-0100-000002000000}">
      <text>
        <r>
          <rPr>
            <b/>
            <sz val="9"/>
            <color indexed="81"/>
            <rFont val="Tahoma"/>
            <family val="2"/>
          </rPr>
          <t>Georgia Jones:</t>
        </r>
        <r>
          <rPr>
            <sz val="9"/>
            <color indexed="81"/>
            <rFont val="Tahoma"/>
            <family val="2"/>
          </rPr>
          <t xml:space="preserve">
This section is required to calculate the total gross weight of the container. </t>
        </r>
      </text>
    </comment>
    <comment ref="M6" authorId="0" shapeId="0" xr:uid="{00000000-0006-0000-0100-000003000000}">
      <text>
        <r>
          <rPr>
            <b/>
            <sz val="9"/>
            <color indexed="81"/>
            <rFont val="Tahoma"/>
            <family val="2"/>
          </rPr>
          <t>Georgia Jones:</t>
        </r>
        <r>
          <rPr>
            <sz val="9"/>
            <color indexed="81"/>
            <rFont val="Tahoma"/>
            <family val="2"/>
          </rPr>
          <t xml:space="preserve">
This can be entered in either currency.</t>
        </r>
      </text>
    </comment>
    <comment ref="D13" authorId="0" shapeId="0" xr:uid="{00000000-0006-0000-0100-000004000000}">
      <text>
        <r>
          <rPr>
            <b/>
            <sz val="9"/>
            <color indexed="81"/>
            <rFont val="Tahoma"/>
            <family val="2"/>
          </rPr>
          <t>Georgia Jones:</t>
        </r>
        <r>
          <rPr>
            <sz val="9"/>
            <color indexed="81"/>
            <rFont val="Tahoma"/>
            <family val="2"/>
          </rPr>
          <t xml:space="preserve">
This section allows you to estimate the cost of the container using either Full Duty or Licence</t>
        </r>
      </text>
    </comment>
    <comment ref="D14" authorId="0" shapeId="0" xr:uid="{00000000-0006-0000-0100-000005000000}">
      <text>
        <r>
          <rPr>
            <b/>
            <sz val="9"/>
            <color indexed="81"/>
            <rFont val="Tahoma"/>
            <family val="2"/>
          </rPr>
          <t>Georgia Jones:</t>
        </r>
        <r>
          <rPr>
            <sz val="9"/>
            <color indexed="81"/>
            <rFont val="Tahoma"/>
            <family val="2"/>
          </rPr>
          <t xml:space="preserve">
This section will determine whether the total cost of the container should include the additional costs or not.
Selecting yes from the drop down will remove the additional costs.
Select No if the container is a direct delivery to Philea, Farmfoods or Heron</t>
        </r>
      </text>
    </comment>
    <comment ref="D15" authorId="0" shapeId="0" xr:uid="{00000000-0006-0000-0100-000006000000}">
      <text>
        <r>
          <rPr>
            <b/>
            <sz val="9"/>
            <color indexed="81"/>
            <rFont val="Tahoma"/>
            <family val="2"/>
          </rPr>
          <t>Georgia Jones:</t>
        </r>
        <r>
          <rPr>
            <sz val="9"/>
            <color indexed="81"/>
            <rFont val="Tahoma"/>
            <family val="2"/>
          </rPr>
          <t xml:space="preserve">
Don't forget to change this to "No" if it is a direct delivery.</t>
        </r>
      </text>
    </comment>
    <comment ref="D17" authorId="0" shapeId="0" xr:uid="{00000000-0006-0000-0100-000007000000}">
      <text>
        <r>
          <rPr>
            <b/>
            <sz val="9"/>
            <color indexed="81"/>
            <rFont val="Tahoma"/>
            <family val="2"/>
          </rPr>
          <t>Georgia Jones:</t>
        </r>
        <r>
          <rPr>
            <sz val="9"/>
            <color indexed="81"/>
            <rFont val="Tahoma"/>
            <family val="2"/>
          </rPr>
          <t xml:space="preserve">
The costs vary slightly across each of the different customs agent.
- Majority of the containers delivered to the UK are cleared using AGT
- Deliveries into France are Seafrigo</t>
        </r>
      </text>
    </comment>
    <comment ref="D21" authorId="0" shapeId="0" xr:uid="{00000000-0006-0000-0100-000008000000}">
      <text>
        <r>
          <rPr>
            <b/>
            <sz val="9"/>
            <color indexed="81"/>
            <rFont val="Tahoma"/>
            <family val="2"/>
          </rPr>
          <t>Georgia Jones:</t>
        </r>
        <r>
          <rPr>
            <sz val="9"/>
            <color indexed="81"/>
            <rFont val="Tahoma"/>
            <family val="2"/>
          </rPr>
          <t xml:space="preserve">
Please ensure that you enter the latest fixed exchange rate</t>
        </r>
      </text>
    </comment>
    <comment ref="D22" authorId="0" shapeId="0" xr:uid="{00000000-0006-0000-0100-000009000000}">
      <text>
        <r>
          <rPr>
            <b/>
            <sz val="9"/>
            <color indexed="81"/>
            <rFont val="Tahoma"/>
            <family val="2"/>
          </rPr>
          <t>Georgia Jones:</t>
        </r>
        <r>
          <rPr>
            <sz val="9"/>
            <color indexed="81"/>
            <rFont val="Tahoma"/>
            <family val="2"/>
          </rPr>
          <t xml:space="preserve">
This cost can vary - please ensure that you have entered the latest freight cost</t>
        </r>
      </text>
    </comment>
    <comment ref="E43" authorId="1" shapeId="0" xr:uid="{F618AB2E-2999-46B0-81D7-6330D8B7CC7B}">
      <text>
        <r>
          <rPr>
            <b/>
            <sz val="9"/>
            <color indexed="81"/>
            <rFont val="Tahoma"/>
            <family val="2"/>
          </rPr>
          <t>£25 Added per load for VBS Booking.
IF IT'S EWL.</t>
        </r>
        <r>
          <rPr>
            <sz val="9"/>
            <color indexed="81"/>
            <rFont val="Tahoma"/>
            <family val="2"/>
          </rPr>
          <t xml:space="preserve">
</t>
        </r>
      </text>
    </comment>
    <comment ref="C44" authorId="1" shapeId="0" xr:uid="{8684BCD3-F8C6-4387-A07C-D87F16F62690}">
      <text>
        <r>
          <rPr>
            <b/>
            <sz val="9"/>
            <color indexed="81"/>
            <rFont val="Tahoma"/>
            <family val="2"/>
          </rPr>
          <t>Eric Tavares:</t>
        </r>
        <r>
          <rPr>
            <sz val="9"/>
            <color indexed="81"/>
            <rFont val="Tahoma"/>
            <family val="2"/>
          </rPr>
          <t xml:space="preserve">
If Shipping Line is Hapag, then add £85 on top.</t>
        </r>
      </text>
    </comment>
    <comment ref="C60" authorId="1" shapeId="0" xr:uid="{FDCEBFCA-7468-4D80-85BD-57D58EC4B419}">
      <text>
        <r>
          <rPr>
            <b/>
            <sz val="9"/>
            <color indexed="81"/>
            <rFont val="Tahoma"/>
            <family val="2"/>
          </rPr>
          <t>Eric Tavares:</t>
        </r>
        <r>
          <rPr>
            <sz val="9"/>
            <color indexed="81"/>
            <rFont val="Tahoma"/>
            <family val="2"/>
          </rPr>
          <t xml:space="preserve">
JR - 07/JUN</t>
        </r>
      </text>
    </comment>
    <comment ref="C61" authorId="1" shapeId="0" xr:uid="{004CF24A-9215-43AE-82CA-47A1F1933955}">
      <text>
        <r>
          <rPr>
            <b/>
            <sz val="9"/>
            <color indexed="81"/>
            <rFont val="Tahoma"/>
            <family val="2"/>
          </rPr>
          <t>Eric Tavares:</t>
        </r>
        <r>
          <rPr>
            <sz val="9"/>
            <color indexed="81"/>
            <rFont val="Tahoma"/>
            <family val="2"/>
          </rPr>
          <t xml:space="preserve">
JR - 07/JUN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Georgia Jones</author>
    <author>Eric Tavares</author>
  </authors>
  <commentList>
    <comment ref="C7" authorId="0" shapeId="0" xr:uid="{00000000-0006-0000-0200-000001000000}">
      <text>
        <r>
          <rPr>
            <b/>
            <sz val="9"/>
            <color indexed="81"/>
            <rFont val="Tahoma"/>
            <family val="2"/>
          </rPr>
          <t>Georgia Jones:</t>
        </r>
        <r>
          <rPr>
            <sz val="9"/>
            <color indexed="81"/>
            <rFont val="Tahoma"/>
            <family val="2"/>
          </rPr>
          <t xml:space="preserve">
This section allows you to estimate the cost of the container using either Full Duty or Licence</t>
        </r>
      </text>
    </comment>
    <comment ref="C8" authorId="0" shapeId="0" xr:uid="{00000000-0006-0000-0200-000002000000}">
      <text>
        <r>
          <rPr>
            <b/>
            <sz val="9"/>
            <color indexed="81"/>
            <rFont val="Tahoma"/>
            <family val="2"/>
          </rPr>
          <t>Georgia Jones:</t>
        </r>
        <r>
          <rPr>
            <sz val="9"/>
            <color indexed="81"/>
            <rFont val="Tahoma"/>
            <family val="2"/>
          </rPr>
          <t xml:space="preserve">
This section will determine whether the total cost of the container should include the additional costs or not.
Selecting yes from the drop down will remove the additional costs.</t>
        </r>
      </text>
    </comment>
    <comment ref="C9" authorId="0" shapeId="0" xr:uid="{00000000-0006-0000-0200-000003000000}">
      <text>
        <r>
          <rPr>
            <b/>
            <sz val="9"/>
            <color indexed="81"/>
            <rFont val="Tahoma"/>
            <family val="2"/>
          </rPr>
          <t>Georgia Jones:</t>
        </r>
        <r>
          <rPr>
            <sz val="9"/>
            <color indexed="81"/>
            <rFont val="Tahoma"/>
            <family val="2"/>
          </rPr>
          <t xml:space="preserve">
Don't forget to change this to "No" if it is a direct delivery.</t>
        </r>
      </text>
    </comment>
    <comment ref="C10" authorId="0" shapeId="0" xr:uid="{00000000-0006-0000-0200-000004000000}">
      <text>
        <r>
          <rPr>
            <b/>
            <sz val="9"/>
            <color indexed="81"/>
            <rFont val="Tahoma"/>
            <family val="2"/>
          </rPr>
          <t>Georgia Jones:</t>
        </r>
        <r>
          <rPr>
            <sz val="9"/>
            <color indexed="81"/>
            <rFont val="Tahoma"/>
            <family val="2"/>
          </rPr>
          <t xml:space="preserve">
Please ensure that you enter the latest fixed exchange rate</t>
        </r>
      </text>
    </comment>
    <comment ref="C11" authorId="0" shapeId="0" xr:uid="{00000000-0006-0000-0200-000005000000}">
      <text>
        <r>
          <rPr>
            <b/>
            <sz val="9"/>
            <color indexed="81"/>
            <rFont val="Tahoma"/>
            <family val="2"/>
          </rPr>
          <t>Georgia Jones:</t>
        </r>
        <r>
          <rPr>
            <sz val="9"/>
            <color indexed="81"/>
            <rFont val="Tahoma"/>
            <family val="2"/>
          </rPr>
          <t xml:space="preserve">
The costs vary slightly across each of the different customs agent.
- Majority of the containers delivered to the UK are cleared using AGT
- Deliveries into France are Seafrigo</t>
        </r>
      </text>
    </comment>
    <comment ref="C13" authorId="0" shapeId="0" xr:uid="{00000000-0006-0000-0200-000006000000}">
      <text>
        <r>
          <rPr>
            <b/>
            <sz val="9"/>
            <color indexed="81"/>
            <rFont val="Tahoma"/>
            <family val="2"/>
          </rPr>
          <t>Georgia Jones:</t>
        </r>
        <r>
          <rPr>
            <sz val="9"/>
            <color indexed="81"/>
            <rFont val="Tahoma"/>
            <family val="2"/>
          </rPr>
          <t xml:space="preserve">
This cost can vary - please ensure that you have entered the latest transport cost</t>
        </r>
      </text>
    </comment>
    <comment ref="C14" authorId="0" shapeId="0" xr:uid="{00000000-0006-0000-0200-000007000000}">
      <text>
        <r>
          <rPr>
            <b/>
            <sz val="9"/>
            <color indexed="81"/>
            <rFont val="Tahoma"/>
            <family val="2"/>
          </rPr>
          <t>Georgia Jones:</t>
        </r>
        <r>
          <rPr>
            <sz val="9"/>
            <color indexed="81"/>
            <rFont val="Tahoma"/>
            <family val="2"/>
          </rPr>
          <t xml:space="preserve">
This cost can vary - please ensure that you have entered the latest freight cost</t>
        </r>
      </text>
    </comment>
    <comment ref="G18" authorId="0" shapeId="0" xr:uid="{00000000-0006-0000-0200-000008000000}">
      <text>
        <r>
          <rPr>
            <b/>
            <sz val="9"/>
            <color indexed="81"/>
            <rFont val="Tahoma"/>
            <family val="2"/>
          </rPr>
          <t>Georgia Jones:</t>
        </r>
        <r>
          <rPr>
            <sz val="9"/>
            <color indexed="81"/>
            <rFont val="Tahoma"/>
            <family val="2"/>
          </rPr>
          <t xml:space="preserve">
This can be entered in either currency.</t>
        </r>
      </text>
    </comment>
    <comment ref="M18" authorId="0" shapeId="0" xr:uid="{00000000-0006-0000-0200-000009000000}">
      <text>
        <r>
          <rPr>
            <b/>
            <sz val="9"/>
            <color indexed="81"/>
            <rFont val="Tahoma"/>
            <family val="2"/>
          </rPr>
          <t>Georgia Jones:</t>
        </r>
        <r>
          <rPr>
            <sz val="9"/>
            <color indexed="81"/>
            <rFont val="Tahoma"/>
            <family val="2"/>
          </rPr>
          <t xml:space="preserve">
This section is used to accurately calculate the duty cost of each product. 
Please ensure that you have selected the correct "Meat Content" from the drop down.</t>
        </r>
      </text>
    </comment>
    <comment ref="N18" authorId="0" shapeId="0" xr:uid="{00000000-0006-0000-0200-00000A000000}">
      <text>
        <r>
          <rPr>
            <b/>
            <sz val="9"/>
            <color indexed="81"/>
            <rFont val="Tahoma"/>
            <family val="2"/>
          </rPr>
          <t>Georgia Jones:</t>
        </r>
        <r>
          <rPr>
            <sz val="9"/>
            <color indexed="81"/>
            <rFont val="Tahoma"/>
            <family val="2"/>
          </rPr>
          <t xml:space="preserve">
This section is required to calculate the total gross weight of the container. </t>
        </r>
      </text>
    </comment>
    <comment ref="D52" authorId="1" shapeId="0" xr:uid="{9F36D841-97F9-438D-A728-960AE3E5E2B3}">
      <text>
        <r>
          <rPr>
            <b/>
            <sz val="9"/>
            <color indexed="81"/>
            <rFont val="Tahoma"/>
            <family val="2"/>
          </rPr>
          <t>£25 Added per load for VBS Booking.
IF IT'S EWL.</t>
        </r>
        <r>
          <rPr>
            <sz val="9"/>
            <color indexed="81"/>
            <rFont val="Tahoma"/>
            <family val="2"/>
          </rPr>
          <t xml:space="preserve">
</t>
        </r>
      </text>
    </comment>
    <comment ref="B53" authorId="1" shapeId="0" xr:uid="{EBA2D342-8409-4809-A044-7CF20EF5F497}">
      <text>
        <r>
          <rPr>
            <b/>
            <sz val="9"/>
            <color indexed="81"/>
            <rFont val="Tahoma"/>
            <family val="2"/>
          </rPr>
          <t>Eric Tavares:</t>
        </r>
        <r>
          <rPr>
            <sz val="9"/>
            <color indexed="81"/>
            <rFont val="Tahoma"/>
            <family val="2"/>
          </rPr>
          <t xml:space="preserve">
If Shipping Line is Hapag, then add £85 on top.</t>
        </r>
      </text>
    </comment>
    <comment ref="B69" authorId="1" shapeId="0" xr:uid="{B1B0AB93-3D7A-4113-A2D1-91076BB544FA}">
      <text>
        <r>
          <rPr>
            <b/>
            <sz val="9"/>
            <color indexed="81"/>
            <rFont val="Tahoma"/>
            <family val="2"/>
          </rPr>
          <t>Eric Tavares:</t>
        </r>
        <r>
          <rPr>
            <sz val="9"/>
            <color indexed="81"/>
            <rFont val="Tahoma"/>
            <family val="2"/>
          </rPr>
          <t xml:space="preserve">
JR - 07/JUN</t>
        </r>
      </text>
    </comment>
    <comment ref="B70" authorId="1" shapeId="0" xr:uid="{1DB6B3EA-AB01-48E1-83C5-C59C51C8311B}">
      <text>
        <r>
          <rPr>
            <b/>
            <sz val="9"/>
            <color indexed="81"/>
            <rFont val="Tahoma"/>
            <family val="2"/>
          </rPr>
          <t>Eric Tavares:</t>
        </r>
        <r>
          <rPr>
            <sz val="9"/>
            <color indexed="81"/>
            <rFont val="Tahoma"/>
            <family val="2"/>
          </rPr>
          <t xml:space="preserve">
JR - 07/JUN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Georgia Jones</author>
    <author>Eric Tavares</author>
  </authors>
  <commentList>
    <comment ref="F7" authorId="0" shapeId="0" xr:uid="{00000000-0006-0000-0300-000001000000}">
      <text>
        <r>
          <rPr>
            <b/>
            <sz val="9"/>
            <color indexed="81"/>
            <rFont val="Tahoma"/>
            <family val="2"/>
          </rPr>
          <t>Georgia Jones:</t>
        </r>
        <r>
          <rPr>
            <sz val="9"/>
            <color indexed="81"/>
            <rFont val="Tahoma"/>
            <family val="2"/>
          </rPr>
          <t xml:space="preserve">
This section allows you to estimate the cost of the container using either Full Duty or Licence</t>
        </r>
      </text>
    </comment>
    <comment ref="F8" authorId="0" shapeId="0" xr:uid="{00000000-0006-0000-0300-000002000000}">
      <text>
        <r>
          <rPr>
            <b/>
            <sz val="9"/>
            <color indexed="81"/>
            <rFont val="Tahoma"/>
            <family val="2"/>
          </rPr>
          <t>Georgia Jones:</t>
        </r>
        <r>
          <rPr>
            <sz val="9"/>
            <color indexed="81"/>
            <rFont val="Tahoma"/>
            <family val="2"/>
          </rPr>
          <t xml:space="preserve">
This section will determine whether the total cost of the container should include the additional costs or not.
Selecting yes from the drop down will remove the additional costs.</t>
        </r>
      </text>
    </comment>
    <comment ref="C9" authorId="0" shapeId="0" xr:uid="{00000000-0006-0000-0300-000003000000}">
      <text>
        <r>
          <rPr>
            <b/>
            <sz val="9"/>
            <color indexed="81"/>
            <rFont val="Tahoma"/>
            <family val="2"/>
          </rPr>
          <t>Georgia Jones:</t>
        </r>
        <r>
          <rPr>
            <sz val="9"/>
            <color indexed="81"/>
            <rFont val="Tahoma"/>
            <family val="2"/>
          </rPr>
          <t xml:space="preserve">
This section is used to accurately calculate the duty cost of each product. 
Please ensure that you have selected the correct "Meat Content" from the drop down.</t>
        </r>
      </text>
    </comment>
    <comment ref="F9" authorId="0" shapeId="0" xr:uid="{00000000-0006-0000-0300-000004000000}">
      <text>
        <r>
          <rPr>
            <b/>
            <sz val="9"/>
            <color indexed="81"/>
            <rFont val="Tahoma"/>
            <family val="2"/>
          </rPr>
          <t>Georgia Jones:</t>
        </r>
        <r>
          <rPr>
            <sz val="9"/>
            <color indexed="81"/>
            <rFont val="Tahoma"/>
            <family val="2"/>
          </rPr>
          <t xml:space="preserve">
Don't forget to change this to "No" if it is a direct delivery.</t>
        </r>
      </text>
    </comment>
    <comment ref="C10" authorId="0" shapeId="0" xr:uid="{00000000-0006-0000-0300-000005000000}">
      <text>
        <r>
          <rPr>
            <b/>
            <sz val="9"/>
            <color indexed="81"/>
            <rFont val="Tahoma"/>
            <family val="2"/>
          </rPr>
          <t>Georgia Jones:</t>
        </r>
        <r>
          <rPr>
            <sz val="9"/>
            <color indexed="81"/>
            <rFont val="Tahoma"/>
            <family val="2"/>
          </rPr>
          <t xml:space="preserve">
This section is required to calculate the total gross weight of the container. </t>
        </r>
      </text>
    </comment>
    <comment ref="F11" authorId="1" shapeId="0" xr:uid="{00000000-0006-0000-0300-000006000000}">
      <text>
        <r>
          <rPr>
            <b/>
            <sz val="9"/>
            <color indexed="81"/>
            <rFont val="Tahoma"/>
            <family val="2"/>
          </rPr>
          <t>Eric Tavares:</t>
        </r>
        <r>
          <rPr>
            <sz val="9"/>
            <color indexed="81"/>
            <rFont val="Tahoma"/>
            <family val="2"/>
          </rPr>
          <t xml:space="preserve">
This field can't be left as blank. 
If there's no Additional Duty, then leave as </t>
        </r>
        <r>
          <rPr>
            <b/>
            <sz val="9"/>
            <color indexed="81"/>
            <rFont val="Tahoma"/>
            <family val="2"/>
          </rPr>
          <t>0</t>
        </r>
        <r>
          <rPr>
            <sz val="9"/>
            <color indexed="81"/>
            <rFont val="Tahoma"/>
            <family val="2"/>
          </rPr>
          <t>.</t>
        </r>
      </text>
    </comment>
    <comment ref="E16" authorId="0" shapeId="0" xr:uid="{00000000-0006-0000-0300-000007000000}">
      <text>
        <r>
          <rPr>
            <b/>
            <sz val="9"/>
            <color indexed="81"/>
            <rFont val="Tahoma"/>
            <family val="2"/>
          </rPr>
          <t>Georgia Jones:</t>
        </r>
        <r>
          <rPr>
            <sz val="9"/>
            <color indexed="81"/>
            <rFont val="Tahoma"/>
            <family val="2"/>
          </rPr>
          <t xml:space="preserve">
This can be entered in either currency.</t>
        </r>
      </text>
    </comment>
    <comment ref="N16" authorId="0" shapeId="0" xr:uid="{00000000-0006-0000-0300-000008000000}">
      <text>
        <r>
          <rPr>
            <b/>
            <sz val="9"/>
            <color indexed="81"/>
            <rFont val="Tahoma"/>
            <family val="2"/>
          </rPr>
          <t>Georgia Jones:</t>
        </r>
        <r>
          <rPr>
            <sz val="9"/>
            <color indexed="81"/>
            <rFont val="Tahoma"/>
            <family val="2"/>
          </rPr>
          <t xml:space="preserve">
The costs vary slightly across each of the different customs agent.
- Majority of the containers delivered to the UK are cleared using AGT
- Deliveries into France are Seafrigo</t>
        </r>
      </text>
    </comment>
    <comment ref="D39" authorId="1" shapeId="0" xr:uid="{08AB28DA-991C-4364-9A61-0143AD1BEB8E}">
      <text>
        <r>
          <rPr>
            <b/>
            <sz val="9"/>
            <color indexed="81"/>
            <rFont val="Tahoma"/>
            <family val="2"/>
          </rPr>
          <t>£25 Added per load for VBS Booking.
IF IT'S EWL.</t>
        </r>
        <r>
          <rPr>
            <sz val="9"/>
            <color indexed="81"/>
            <rFont val="Tahoma"/>
            <family val="2"/>
          </rPr>
          <t xml:space="preserve">
</t>
        </r>
      </text>
    </comment>
    <comment ref="B40" authorId="1" shapeId="0" xr:uid="{12BF2E2C-26A2-4E24-B63D-D33EC4C6DDE0}">
      <text>
        <r>
          <rPr>
            <b/>
            <sz val="9"/>
            <color indexed="81"/>
            <rFont val="Tahoma"/>
            <family val="2"/>
          </rPr>
          <t>Eric Tavares:</t>
        </r>
        <r>
          <rPr>
            <sz val="9"/>
            <color indexed="81"/>
            <rFont val="Tahoma"/>
            <family val="2"/>
          </rPr>
          <t xml:space="preserve">
If Shipping Line is Hapag, then add £85 on top.</t>
        </r>
      </text>
    </comment>
    <comment ref="B56" authorId="1" shapeId="0" xr:uid="{254B32F7-1A28-41D5-91AF-6D52611F4FBE}">
      <text>
        <r>
          <rPr>
            <b/>
            <sz val="9"/>
            <color indexed="81"/>
            <rFont val="Tahoma"/>
            <family val="2"/>
          </rPr>
          <t>Eric Tavares:</t>
        </r>
        <r>
          <rPr>
            <sz val="9"/>
            <color indexed="81"/>
            <rFont val="Tahoma"/>
            <family val="2"/>
          </rPr>
          <t xml:space="preserve">
JR - 07/JUN</t>
        </r>
      </text>
    </comment>
    <comment ref="B57" authorId="1" shapeId="0" xr:uid="{F8CA1D7B-5D4E-44BA-989B-E9C73A6FAAE0}">
      <text>
        <r>
          <rPr>
            <b/>
            <sz val="9"/>
            <color indexed="81"/>
            <rFont val="Tahoma"/>
            <family val="2"/>
          </rPr>
          <t>Eric Tavares:</t>
        </r>
        <r>
          <rPr>
            <sz val="9"/>
            <color indexed="81"/>
            <rFont val="Tahoma"/>
            <family val="2"/>
          </rPr>
          <t xml:space="preserve">
JR - 07/JUN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Users\randheerb\Documents\My Data Sources\BCSQL Production View_Costing_Model.odc" keepAlive="1" name="BCSQL Production View_Costing_Model" type="5" refreshedVersion="8" background="1" saveData="1">
    <dbPr connection="Provider=SQLOLEDB.1;Integrated Security=SSPI;Persist Security Info=True;Initial Catalog=Production;Data Source=BCSQL;Use Procedure for Prepare=1;Auto Translate=True;Packet Size=4096;Workstation ID=MVF-ITPC2;Use Encryption for Data=False;Tag with column collation when possible=False" command="&quot;Production&quot;.&quot;dbo&quot;.&quot;View_Costing_Model&quot;" commandType="3"/>
  </connection>
  <connection id="2" xr16:uid="{00000000-0015-0000-FFFF-FFFF01000000}" odcFile="C:\Users\randheerb\Documents\My Data Sources\BCSQL Production View_Costing_Model_Update.odc" keepAlive="1" name="BCSQL Production View_Costing_Model_Update" type="5" refreshedVersion="8" background="1">
    <dbPr connection="Provider=SQLOLEDB.1;Integrated Security=SSPI;Persist Security Info=True;Initial Catalog=Production;Data Source=BCSQL;Use Procedure for Prepare=1;Auto Translate=True;Packet Size=4096;Workstation ID=MVF-ITPC2;Use Encryption for Data=False;Tag with column collation when possible=False" command="&quot;Production&quot;.&quot;dbo&quot;.&quot;View_Costing_Model_Update&quot;" commandType="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<sst xmlns="http://schemas.openxmlformats.org/spreadsheetml/2006/main" count="1194" uniqueCount="547">
  <si>
    <t>Description</t>
  </si>
  <si>
    <t>Meat Content</t>
  </si>
  <si>
    <t>Bags per Case</t>
  </si>
  <si>
    <t>Case Weight</t>
  </si>
  <si>
    <t>&lt;57%</t>
  </si>
  <si>
    <t>&gt;57%</t>
  </si>
  <si>
    <t>Spring roll &amp; samosa</t>
  </si>
  <si>
    <t>Onion bhajis</t>
  </si>
  <si>
    <t>Duck</t>
  </si>
  <si>
    <t>Container Details</t>
  </si>
  <si>
    <t>Clearance Type</t>
  </si>
  <si>
    <t>Yes/No</t>
  </si>
  <si>
    <t>Full Duty</t>
  </si>
  <si>
    <t>Licence</t>
  </si>
  <si>
    <t>Yes</t>
  </si>
  <si>
    <t>No</t>
  </si>
  <si>
    <t>Retail</t>
  </si>
  <si>
    <t>Handball</t>
  </si>
  <si>
    <t>Incoterms</t>
  </si>
  <si>
    <t>CFR</t>
  </si>
  <si>
    <t>FOB</t>
  </si>
  <si>
    <t>Licence Accrual</t>
  </si>
  <si>
    <t>Exchange Rate</t>
  </si>
  <si>
    <t>Case Per Container</t>
  </si>
  <si>
    <t>Freight Cost</t>
  </si>
  <si>
    <t>COSTING SUMMARY</t>
  </si>
  <si>
    <t>Product Code</t>
  </si>
  <si>
    <t>Product cost (per tonne) $</t>
  </si>
  <si>
    <t>Product Cost £</t>
  </si>
  <si>
    <t>Freight Cost £</t>
  </si>
  <si>
    <t>Duty</t>
  </si>
  <si>
    <t>Licence Cost</t>
  </si>
  <si>
    <t>Port Clearance Costs</t>
  </si>
  <si>
    <t>Transport</t>
  </si>
  <si>
    <t>Additions1</t>
  </si>
  <si>
    <t>Total Cost</t>
  </si>
  <si>
    <t>Cost/ KG</t>
  </si>
  <si>
    <t>Cost/Case</t>
  </si>
  <si>
    <t>Duty Calculations</t>
  </si>
  <si>
    <t>Custom Agent</t>
  </si>
  <si>
    <t>Port Arrival</t>
  </si>
  <si>
    <t>Transport Cost</t>
  </si>
  <si>
    <t>AGT</t>
  </si>
  <si>
    <t>EWL</t>
  </si>
  <si>
    <t>Thermotraffic</t>
  </si>
  <si>
    <t>Seafrigo</t>
  </si>
  <si>
    <t>Felixstowe</t>
  </si>
  <si>
    <t>London Gateway</t>
  </si>
  <si>
    <t>Southampton</t>
  </si>
  <si>
    <t>Le Havre</t>
  </si>
  <si>
    <t>Product Details</t>
  </si>
  <si>
    <t>Bags Per Case</t>
  </si>
  <si>
    <t>Costing Scenario</t>
  </si>
  <si>
    <t>Customs Agent</t>
  </si>
  <si>
    <t>Sales Price/Case</t>
  </si>
  <si>
    <t>Licence Cost/ KG</t>
  </si>
  <si>
    <t>Freight</t>
  </si>
  <si>
    <t>Port Clearance + Transport</t>
  </si>
  <si>
    <t>Additions 1</t>
  </si>
  <si>
    <t>Currency, Insurance &amp; Additions 2</t>
  </si>
  <si>
    <t>GM %</t>
  </si>
  <si>
    <t>Cost/ Case</t>
  </si>
  <si>
    <t>Cost/KG</t>
  </si>
  <si>
    <t>Total Product Cost £</t>
  </si>
  <si>
    <t>Freight Cost $</t>
  </si>
  <si>
    <t>Product Cost/ Tonne $</t>
  </si>
  <si>
    <t>GM%</t>
  </si>
  <si>
    <t>UK Destination Charges</t>
  </si>
  <si>
    <t>Port Charges</t>
  </si>
  <si>
    <t>Port Health Exam</t>
  </si>
  <si>
    <t>Total</t>
  </si>
  <si>
    <t>Case Weight (kg)</t>
  </si>
  <si>
    <t>Container Weight (Net)</t>
  </si>
  <si>
    <t>Instructions</t>
  </si>
  <si>
    <t>This tab allows you to compare the cost/GM% of one product using various scenarios. For example - comparing the cost of the container with different ROE - As shown below.</t>
  </si>
  <si>
    <t>DATA INPUT</t>
  </si>
  <si>
    <t xml:space="preserve">This tab enables you to estimate the cost of a container with multiple products. </t>
  </si>
  <si>
    <t>Selling Data - Not required to estimate the cost but will allow you to calculate GM%</t>
  </si>
  <si>
    <t>EURO/GBP</t>
  </si>
  <si>
    <t>Euro/GBP</t>
  </si>
  <si>
    <t>Euro</t>
  </si>
  <si>
    <t>GBP</t>
  </si>
  <si>
    <t>Exchange Rate $/£</t>
  </si>
  <si>
    <t>Exchange Rate €/£</t>
  </si>
  <si>
    <t xml:space="preserve">Sales Price/ Case </t>
  </si>
  <si>
    <t xml:space="preserve">All sections with a orange heading need to be populated for the costing to be calculated accurately. </t>
  </si>
  <si>
    <t>This tab allows you to estimate the cost of a number of products at once, rather than doing one at a time on the other tabs.</t>
  </si>
  <si>
    <t>Veg</t>
  </si>
  <si>
    <t>Current Rates</t>
  </si>
  <si>
    <t>China</t>
  </si>
  <si>
    <t>£</t>
  </si>
  <si>
    <t>$</t>
  </si>
  <si>
    <t>Pref. Supplier</t>
  </si>
  <si>
    <t>Price in U$D</t>
  </si>
  <si>
    <t>Sales Price/KG</t>
  </si>
  <si>
    <t>Sales Price/ KG</t>
  </si>
  <si>
    <t>Sales Price / KG</t>
  </si>
  <si>
    <t>Product Desctiption</t>
  </si>
  <si>
    <t>Product Description</t>
  </si>
  <si>
    <t>Sales Price/Unit</t>
  </si>
  <si>
    <t>Container Weight</t>
  </si>
  <si>
    <t>Sales Price/ Unit</t>
  </si>
  <si>
    <t>Distram (Igloo)</t>
  </si>
  <si>
    <t>Philea (Igloo/Sotlarim)</t>
  </si>
  <si>
    <t>B1401551A</t>
  </si>
  <si>
    <t>B1402256</t>
  </si>
  <si>
    <t>B1402202</t>
  </si>
  <si>
    <t>N1413901A</t>
  </si>
  <si>
    <t>Supplier</t>
  </si>
  <si>
    <t>B1402213</t>
  </si>
  <si>
    <t>B1402246</t>
  </si>
  <si>
    <t>B1402264</t>
  </si>
  <si>
    <t>G1450100</t>
  </si>
  <si>
    <t>G1450200</t>
  </si>
  <si>
    <t>G1450300</t>
  </si>
  <si>
    <t>G1450500</t>
  </si>
  <si>
    <t>G1450505</t>
  </si>
  <si>
    <t>G1450508A</t>
  </si>
  <si>
    <t>G1450600AB</t>
  </si>
  <si>
    <t>G1450700</t>
  </si>
  <si>
    <t>G1452302</t>
  </si>
  <si>
    <t>G3412403</t>
  </si>
  <si>
    <t>G3413800</t>
  </si>
  <si>
    <t>G3450518</t>
  </si>
  <si>
    <t>N1410204AB</t>
  </si>
  <si>
    <t>N1411917</t>
  </si>
  <si>
    <t>N1412106A</t>
  </si>
  <si>
    <t>N1412301</t>
  </si>
  <si>
    <t>N1413803A</t>
  </si>
  <si>
    <t>N1414204A</t>
  </si>
  <si>
    <t>N1414401A</t>
  </si>
  <si>
    <t>N1452001A</t>
  </si>
  <si>
    <t>N1452003A</t>
  </si>
  <si>
    <t>N1452004A</t>
  </si>
  <si>
    <t>N1452005A</t>
  </si>
  <si>
    <t>N1452006A</t>
  </si>
  <si>
    <t>N1452007A</t>
  </si>
  <si>
    <t>N1452010A</t>
  </si>
  <si>
    <t>N1452011A</t>
  </si>
  <si>
    <t>N1452012A</t>
  </si>
  <si>
    <t>N1452013A</t>
  </si>
  <si>
    <t>N1452014</t>
  </si>
  <si>
    <t>S1402100</t>
  </si>
  <si>
    <t>S1402101</t>
  </si>
  <si>
    <t>S1402102</t>
  </si>
  <si>
    <t>S1402103</t>
  </si>
  <si>
    <t>S1402104</t>
  </si>
  <si>
    <t>S1402105</t>
  </si>
  <si>
    <t>V1411200A</t>
  </si>
  <si>
    <t>B1403401</t>
  </si>
  <si>
    <t>B1403404</t>
  </si>
  <si>
    <t>B1403410</t>
  </si>
  <si>
    <t>C10003</t>
  </si>
  <si>
    <t>C10006B</t>
  </si>
  <si>
    <t>C10007B</t>
  </si>
  <si>
    <t>C10027B</t>
  </si>
  <si>
    <t>C10028A</t>
  </si>
  <si>
    <t>C10035B</t>
  </si>
  <si>
    <t>C10050A</t>
  </si>
  <si>
    <t>C10075B</t>
  </si>
  <si>
    <t>C10101</t>
  </si>
  <si>
    <t>C10102</t>
  </si>
  <si>
    <t>C10104</t>
  </si>
  <si>
    <t>C10109B</t>
  </si>
  <si>
    <t>C10138</t>
  </si>
  <si>
    <t>C10139</t>
  </si>
  <si>
    <t>C10141</t>
  </si>
  <si>
    <t>C10142A</t>
  </si>
  <si>
    <t>C10144</t>
  </si>
  <si>
    <t>C10145</t>
  </si>
  <si>
    <t>C10166</t>
  </si>
  <si>
    <t>C10170</t>
  </si>
  <si>
    <t>C10171</t>
  </si>
  <si>
    <t>C10172</t>
  </si>
  <si>
    <t>C10179</t>
  </si>
  <si>
    <t>C10180</t>
  </si>
  <si>
    <t>C10181</t>
  </si>
  <si>
    <t>C10182</t>
  </si>
  <si>
    <t>C10183</t>
  </si>
  <si>
    <t>C10184</t>
  </si>
  <si>
    <t>C10185</t>
  </si>
  <si>
    <t>C10187</t>
  </si>
  <si>
    <t>C10188</t>
  </si>
  <si>
    <t>C10189</t>
  </si>
  <si>
    <t>C10190</t>
  </si>
  <si>
    <t>C10192</t>
  </si>
  <si>
    <t>C10193</t>
  </si>
  <si>
    <t>C10194</t>
  </si>
  <si>
    <t>C10197</t>
  </si>
  <si>
    <t>C10198</t>
  </si>
  <si>
    <t>C10199</t>
  </si>
  <si>
    <t>C10200</t>
  </si>
  <si>
    <t>C10202</t>
  </si>
  <si>
    <t>C10203</t>
  </si>
  <si>
    <t>C10204</t>
  </si>
  <si>
    <t>C10205</t>
  </si>
  <si>
    <t>C10206</t>
  </si>
  <si>
    <t>C10207</t>
  </si>
  <si>
    <t>C10208</t>
  </si>
  <si>
    <t>C10209</t>
  </si>
  <si>
    <t>C10210</t>
  </si>
  <si>
    <t>C10211</t>
  </si>
  <si>
    <t>C10212</t>
  </si>
  <si>
    <t>C10213</t>
  </si>
  <si>
    <t>C10214</t>
  </si>
  <si>
    <t>C10215</t>
  </si>
  <si>
    <t>C10216</t>
  </si>
  <si>
    <t>C10217</t>
  </si>
  <si>
    <t>C10218</t>
  </si>
  <si>
    <t>C10219</t>
  </si>
  <si>
    <t>C10220</t>
  </si>
  <si>
    <t>C20059</t>
  </si>
  <si>
    <t>D10000</t>
  </si>
  <si>
    <t>G1452503</t>
  </si>
  <si>
    <t>G1452600</t>
  </si>
  <si>
    <t>K3470300</t>
  </si>
  <si>
    <t>N1411301A</t>
  </si>
  <si>
    <t>N1411307</t>
  </si>
  <si>
    <t>N1411508</t>
  </si>
  <si>
    <t>N1411936</t>
  </si>
  <si>
    <t>N1412108</t>
  </si>
  <si>
    <t>N1412414</t>
  </si>
  <si>
    <t>N1412629</t>
  </si>
  <si>
    <t>N1413801</t>
  </si>
  <si>
    <t>N1413900A</t>
  </si>
  <si>
    <t>N1413902</t>
  </si>
  <si>
    <t>N1414402</t>
  </si>
  <si>
    <t>N1452002A</t>
  </si>
  <si>
    <t>N1452015</t>
  </si>
  <si>
    <t>N1452107</t>
  </si>
  <si>
    <t>N1452116</t>
  </si>
  <si>
    <t>N1452117</t>
  </si>
  <si>
    <t>N1452118</t>
  </si>
  <si>
    <t>N1452119</t>
  </si>
  <si>
    <t>N1452122</t>
  </si>
  <si>
    <t>N1452123</t>
  </si>
  <si>
    <t>N1452124</t>
  </si>
  <si>
    <t>N1452126</t>
  </si>
  <si>
    <t>N1452127</t>
  </si>
  <si>
    <t>N1452128</t>
  </si>
  <si>
    <t>N1452129</t>
  </si>
  <si>
    <t>N1452130</t>
  </si>
  <si>
    <t>N1452132</t>
  </si>
  <si>
    <t>N1452133</t>
  </si>
  <si>
    <t>N1452134</t>
  </si>
  <si>
    <t>N1452135</t>
  </si>
  <si>
    <t>N3410106</t>
  </si>
  <si>
    <t>N3410225</t>
  </si>
  <si>
    <t>N3411205</t>
  </si>
  <si>
    <t>N3411415</t>
  </si>
  <si>
    <t>N3411514</t>
  </si>
  <si>
    <t>N3411900</t>
  </si>
  <si>
    <t>N3412106</t>
  </si>
  <si>
    <t>N3412404</t>
  </si>
  <si>
    <t>N3412806</t>
  </si>
  <si>
    <t>N3414301</t>
  </si>
  <si>
    <t>N3414500</t>
  </si>
  <si>
    <t>N3452001</t>
  </si>
  <si>
    <t>N3452001E</t>
  </si>
  <si>
    <t>N3452002</t>
  </si>
  <si>
    <t>N3452003</t>
  </si>
  <si>
    <t>N3452003E</t>
  </si>
  <si>
    <t>N3452004</t>
  </si>
  <si>
    <t>N3452005</t>
  </si>
  <si>
    <t>N3452006</t>
  </si>
  <si>
    <t>N3452011E</t>
  </si>
  <si>
    <t>S10000</t>
  </si>
  <si>
    <t>S10001</t>
  </si>
  <si>
    <t>S10002</t>
  </si>
  <si>
    <t>C10221M</t>
  </si>
  <si>
    <t>C10222M</t>
  </si>
  <si>
    <t>C10223M</t>
  </si>
  <si>
    <t>C10224M</t>
  </si>
  <si>
    <t>C10225M</t>
  </si>
  <si>
    <t>C10226M</t>
  </si>
  <si>
    <t>C10227</t>
  </si>
  <si>
    <t>C10228</t>
  </si>
  <si>
    <t>C10229</t>
  </si>
  <si>
    <t>C10230</t>
  </si>
  <si>
    <t>N1152800</t>
  </si>
  <si>
    <t>Cases / Container</t>
  </si>
  <si>
    <t>Product Cost / Tonne $</t>
  </si>
  <si>
    <t>Sales Price / Unit</t>
  </si>
  <si>
    <t>SUPLIER</t>
  </si>
  <si>
    <r>
      <t xml:space="preserve">Please only populate the sections with an </t>
    </r>
    <r>
      <rPr>
        <b/>
        <sz val="11"/>
        <color theme="5" tint="-0.249977111117893"/>
        <rFont val="Calibri"/>
        <family val="2"/>
        <scheme val="minor"/>
      </rPr>
      <t>orange</t>
    </r>
    <r>
      <rPr>
        <sz val="11"/>
        <color theme="1"/>
        <rFont val="Calibri"/>
        <family val="2"/>
        <scheme val="minor"/>
      </rPr>
      <t xml:space="preserve"> heading with required data. The sections highlighted in </t>
    </r>
    <r>
      <rPr>
        <b/>
        <sz val="11"/>
        <color rgb="FF92D050"/>
        <rFont val="Calibri"/>
        <family val="2"/>
        <scheme val="minor"/>
      </rPr>
      <t>green</t>
    </r>
    <r>
      <rPr>
        <sz val="11"/>
        <color theme="1"/>
        <rFont val="Calibri"/>
        <family val="2"/>
        <scheme val="minor"/>
      </rPr>
      <t xml:space="preserve"> are calculated fields - please do not over type.</t>
    </r>
  </si>
  <si>
    <r>
      <t xml:space="preserve">Please only populate the sections with an </t>
    </r>
    <r>
      <rPr>
        <sz val="11"/>
        <color theme="5" tint="-0.249977111117893"/>
        <rFont val="Calibri"/>
        <family val="2"/>
        <scheme val="minor"/>
      </rPr>
      <t>orange</t>
    </r>
    <r>
      <rPr>
        <sz val="11"/>
        <color theme="1"/>
        <rFont val="Calibri"/>
        <family val="2"/>
        <scheme val="minor"/>
      </rPr>
      <t xml:space="preserve"> heading with required data. The sections highlighted in </t>
    </r>
    <r>
      <rPr>
        <b/>
        <sz val="11"/>
        <color rgb="FF92D050"/>
        <rFont val="Calibri"/>
        <family val="2"/>
        <scheme val="minor"/>
      </rPr>
      <t>green</t>
    </r>
    <r>
      <rPr>
        <sz val="11"/>
        <color theme="1"/>
        <rFont val="Calibri"/>
        <family val="2"/>
        <scheme val="minor"/>
      </rPr>
      <t xml:space="preserve"> are calculated fields - please do not over type.</t>
    </r>
  </si>
  <si>
    <r>
      <t xml:space="preserve">Please populate the sections with an </t>
    </r>
    <r>
      <rPr>
        <b/>
        <sz val="11"/>
        <color theme="5" tint="-0.249977111117893"/>
        <rFont val="Calibri"/>
        <family val="2"/>
        <scheme val="minor"/>
      </rPr>
      <t>orange</t>
    </r>
    <r>
      <rPr>
        <sz val="11"/>
        <color theme="1"/>
        <rFont val="Calibri"/>
        <family val="2"/>
        <scheme val="minor"/>
      </rPr>
      <t xml:space="preserve"> heading with required data. The sections highlighted in </t>
    </r>
    <r>
      <rPr>
        <b/>
        <sz val="11"/>
        <color rgb="FF92D050"/>
        <rFont val="Calibri"/>
        <family val="2"/>
        <scheme val="minor"/>
      </rPr>
      <t>green</t>
    </r>
    <r>
      <rPr>
        <sz val="11"/>
        <color theme="1"/>
        <rFont val="Calibri"/>
        <family val="2"/>
        <scheme val="minor"/>
      </rPr>
      <t xml:space="preserve"> are calculated fields - please do not over type.</t>
    </r>
  </si>
  <si>
    <t>Row Labels</t>
  </si>
  <si>
    <t>CH06</t>
  </si>
  <si>
    <t>CH18</t>
  </si>
  <si>
    <t>IN10</t>
  </si>
  <si>
    <t>MA105</t>
  </si>
  <si>
    <t>SP03</t>
  </si>
  <si>
    <t>SU04</t>
  </si>
  <si>
    <t>SW04</t>
  </si>
  <si>
    <t>TH08</t>
  </si>
  <si>
    <t>WE14</t>
  </si>
  <si>
    <t>Grand Total</t>
  </si>
  <si>
    <t>Meadowvale Cooked Chicken Diced (12mm)</t>
  </si>
  <si>
    <t>Meadowvale Sliced Chicken Tikka (5mm)</t>
  </si>
  <si>
    <t>42nd Street Battered Chicken Fillet Bites (30g)</t>
  </si>
  <si>
    <t>Meadowvale Crispy Battered Chicken Fillets (120g)</t>
  </si>
  <si>
    <t>Homestyle Breaded Strips</t>
  </si>
  <si>
    <t>Meadowvale The Original Southern Fried Chicken Strips (50g)</t>
  </si>
  <si>
    <t>Country Style Breaded Fillets</t>
  </si>
  <si>
    <t>Country Style Boneless Wings</t>
  </si>
  <si>
    <t>Japanese Style Katsu Tenders 40g</t>
  </si>
  <si>
    <t>Starting Date</t>
  </si>
  <si>
    <t>Ending Date</t>
  </si>
  <si>
    <t>Net Weight</t>
  </si>
  <si>
    <t>Container Fill (KG)</t>
  </si>
  <si>
    <t>Container Fill Cases</t>
  </si>
  <si>
    <t>Packs Per Case</t>
  </si>
  <si>
    <t>Oodles Crispy Fillet Bites</t>
  </si>
  <si>
    <t>Ready Meal (Rice)</t>
  </si>
  <si>
    <t>Ready Meal (Noodles)</t>
  </si>
  <si>
    <t>Thailand</t>
  </si>
  <si>
    <r>
      <t xml:space="preserve">Please populate the sections with an </t>
    </r>
    <r>
      <rPr>
        <b/>
        <sz val="11"/>
        <color theme="5" tint="-0.249977111117893"/>
        <rFont val="Calibri"/>
        <family val="2"/>
        <scheme val="minor"/>
      </rPr>
      <t>orange</t>
    </r>
    <r>
      <rPr>
        <sz val="11"/>
        <color theme="1"/>
        <rFont val="Calibri"/>
        <family val="2"/>
        <scheme val="minor"/>
      </rPr>
      <t xml:space="preserve"> heading with required data. The sections highlighted in </t>
    </r>
    <r>
      <rPr>
        <b/>
        <sz val="11"/>
        <color rgb="FF92D050"/>
        <rFont val="Calibri"/>
        <family val="2"/>
        <scheme val="minor"/>
      </rPr>
      <t>green</t>
    </r>
    <r>
      <rPr>
        <sz val="11"/>
        <color theme="1"/>
        <rFont val="Calibri"/>
        <family val="2"/>
        <scheme val="minor"/>
      </rPr>
      <t xml:space="preserve"> are calculated fields - </t>
    </r>
    <r>
      <rPr>
        <b/>
        <sz val="11"/>
        <color theme="1"/>
        <rFont val="Calibri"/>
        <family val="2"/>
        <scheme val="minor"/>
      </rPr>
      <t>please do not over type.</t>
    </r>
  </si>
  <si>
    <t>Exchange Rate
$</t>
  </si>
  <si>
    <t>Additional Duty
£/KG</t>
  </si>
  <si>
    <t>3rd Country Duty</t>
  </si>
  <si>
    <t>Commodity Code</t>
  </si>
  <si>
    <t>Additional Duty £/100kg</t>
  </si>
  <si>
    <t>Additional Duty
If any</t>
  </si>
  <si>
    <t>Additional Duty
if any</t>
  </si>
  <si>
    <t>Prawn Gyoza</t>
  </si>
  <si>
    <t>Bao Bun</t>
  </si>
  <si>
    <t>Farmfoods Takeaway Saucy Shredded Curry Chicken (E563)</t>
  </si>
  <si>
    <t>Farmfoods Takeaway Saucy Shredded Hot &amp; Spicy (E564)</t>
  </si>
  <si>
    <t>Farmfoods Takeaway Saucy Shredded Spicy BBQ (E565)</t>
  </si>
  <si>
    <t>Farmfoods Takeaway Southern Fried Shredded Gravy (E650)</t>
  </si>
  <si>
    <t>Farmfoods Takeaway Buffalo Shredded Cheese (E653)</t>
  </si>
  <si>
    <t>Farmfoods Takeaway Southern Fried Tenders Gravy (E651)</t>
  </si>
  <si>
    <t>Farmfoods Takeaway Tandoori Tenders Korma (E652)</t>
  </si>
  <si>
    <t>Coldstore - Hams Hall</t>
  </si>
  <si>
    <t>Thermotraffic - Wrexham</t>
  </si>
  <si>
    <t>Thermotraffic - Braintree</t>
  </si>
  <si>
    <t>FF - Warrington</t>
  </si>
  <si>
    <t>FF - Bristol</t>
  </si>
  <si>
    <t>FF - Solihull</t>
  </si>
  <si>
    <t>KPFF - Wirral</t>
  </si>
  <si>
    <t>Heron - Hull</t>
  </si>
  <si>
    <t>Henry Colbeck - Newcastle</t>
  </si>
  <si>
    <t>Friars Pride - Peterborough</t>
  </si>
  <si>
    <t>HB - Amesbury</t>
  </si>
  <si>
    <t>HB - Axis</t>
  </si>
  <si>
    <t>HB - Omega</t>
  </si>
  <si>
    <t>Thermotraffic - BSE</t>
  </si>
  <si>
    <t>Jebbel Ali</t>
  </si>
  <si>
    <t>Country Style Southern Fried Fillets (120g)</t>
  </si>
  <si>
    <t>SUPPLIER CODE</t>
  </si>
  <si>
    <t>PRODUCT Nº</t>
  </si>
  <si>
    <t>DESCRIPTION</t>
  </si>
  <si>
    <t>FOB PRICE</t>
  </si>
  <si>
    <t>Hamburg</t>
  </si>
  <si>
    <t>Dublin</t>
  </si>
  <si>
    <t>Meadowvale Crunchy Boneless Chicken Wings</t>
  </si>
  <si>
    <t>Home Bargains Salt &amp; Chilli Chunks (78785)</t>
  </si>
  <si>
    <t>Burger'S Sweet Chilli Chicken Chopsticks</t>
  </si>
  <si>
    <t>Meadowvale Hot &amp; Spicy Chicken Fillets (110g)</t>
  </si>
  <si>
    <t>Home Bargains Battered Chicken Breast Chunks (28497)</t>
  </si>
  <si>
    <t>Home Bargains Southern Fried Chicken Breast Strips (24184)</t>
  </si>
  <si>
    <t>Home Bargains Battered Chicken Breast Strips (24185)</t>
  </si>
  <si>
    <t>Home Bargains Hot &amp; Spicy Chicken Breast Strips (24198)</t>
  </si>
  <si>
    <t>Home Bargain Salt &amp; Pepper Shredded (29507)</t>
  </si>
  <si>
    <t>Home Bargain Plain Shredded</t>
  </si>
  <si>
    <t>Home Bargains Chicken Pakoras (52651)</t>
  </si>
  <si>
    <t>Home Bargains Southern Fried Fillets (60988)</t>
  </si>
  <si>
    <t>Home Bargains Southern Fried Popcorn (60994)</t>
  </si>
  <si>
    <t>Home Bargains Crispy Fillets (67547)</t>
  </si>
  <si>
    <t>FAR LOGISTICS</t>
  </si>
  <si>
    <t>Meadowvale Mini Chicken Fillet Bites (5g)</t>
  </si>
  <si>
    <t>Meadowvale Sliced Chicken Cajun (5mm)</t>
  </si>
  <si>
    <t>Meadowvale Sliced Chicken Breast (5mm)</t>
  </si>
  <si>
    <t>Meadowvale Cooked Chicken Strips (12mm)</t>
  </si>
  <si>
    <t>Meadowvale Cooked Chicken Tikka Diced (10mm)</t>
  </si>
  <si>
    <t>Meadowvale Cooked Chicken Tandoori Diced (10mm)</t>
  </si>
  <si>
    <t>Hot &amp; Spicy Diced Chicken (10mm)</t>
  </si>
  <si>
    <t>LA Diner Hot &amp; Spicy Chicken Fillets (E491)</t>
  </si>
  <si>
    <t>LA Diner Southern Fried Chicken Fillets (E490)</t>
  </si>
  <si>
    <t>LA Diner Chicken Goujons (E498)</t>
  </si>
  <si>
    <t>LA Diner Hot &amp; Spicy Chicken Bites (E505)</t>
  </si>
  <si>
    <t>LA Diner Southern Fried Chicken Goujons (E489)</t>
  </si>
  <si>
    <t>LA Diner Battered Chicken Fillets (E492)</t>
  </si>
  <si>
    <t>LA Diner Southern Fried Chicken Bites (E495)</t>
  </si>
  <si>
    <t>Farmfoods Takeaway Crunchy Chicken Tenders (E514)</t>
  </si>
  <si>
    <t>Farmfoods Takeaway Hot &amp; Spicy Chicken Tenders (E513)</t>
  </si>
  <si>
    <t>Farmfoods Takeaway Pickin Chicken (E369)</t>
  </si>
  <si>
    <t>Farmfoods Takeaway Plain Popcorn Chicken (E530)</t>
  </si>
  <si>
    <t>Farmfoods Takeaway BBQ Chicken Tenders (E497)</t>
  </si>
  <si>
    <t>Farmfoods Takeaway Crispy Shredded Chicken (E552)</t>
  </si>
  <si>
    <t>Farmfoods Takeaway Salt &amp; Pepper Shredded Chicken (E570)</t>
  </si>
  <si>
    <t>Farmfoods Takeaway Salt &amp; Chilli Shredded Chicken (E588)</t>
  </si>
  <si>
    <t>Farmfoods Takeaway 12 Tandoori Chicken Tenders (E540)</t>
  </si>
  <si>
    <t>Farmfoods Takeaway 12 Butter Chicken Tenders (E542)</t>
  </si>
  <si>
    <t>Farmfoods Takeaway 12 Pakora Chicken Tenders (E541)</t>
  </si>
  <si>
    <t>Farmfoods Takeaway 6 Zinger Fillets (E569)</t>
  </si>
  <si>
    <t>Farmfoods Takeaway 6 Satay Fillets (E590)</t>
  </si>
  <si>
    <t>Farmfoods Takeaway 6 BBQ Fillets (E589)</t>
  </si>
  <si>
    <t>Farmfoods Takeaway Crispy Tenders Fuego Chilli &amp; Lime (E732)</t>
  </si>
  <si>
    <t>Farmfoods Takeaway Hot Honey Chicken Tenders (E727)</t>
  </si>
  <si>
    <t>Goodness Me! Whole Chicken Fillets (80g)</t>
  </si>
  <si>
    <t>Goodness Me! Cooked Chicken Strips (12mm)</t>
  </si>
  <si>
    <t>Goodness Me! Cooked Chicken Diced (19mm)</t>
  </si>
  <si>
    <t>Meadowvale Battered Chicken Fillet Bites (30g)</t>
  </si>
  <si>
    <t>Goodness Me! Small Crispy Chicken Fillets (40g)</t>
  </si>
  <si>
    <t>Goodness Me! American Style Chicken Fillets (90g)</t>
  </si>
  <si>
    <t>42nd Street Battered Chicken Breast Fillets (120g)</t>
  </si>
  <si>
    <t>Caprinos Chicken Strips</t>
  </si>
  <si>
    <t>Meadowvale Battered Chicken Mini Fillets (40g)</t>
  </si>
  <si>
    <t>Pizza Go Go Battered Chicken Fillet Bites</t>
  </si>
  <si>
    <t>Meadowvale Crispy Chicken Schnitzel (200g)</t>
  </si>
  <si>
    <t>Pizza GoGo Breaded Strips 35-40g</t>
  </si>
  <si>
    <t>Meadowvale Hot &amp; Spicy Chicken Mini Fillets (40g)</t>
  </si>
  <si>
    <t>Meadowvale Southern Fried Chicken Mini Fillets 40g</t>
  </si>
  <si>
    <t>N1414208</t>
  </si>
  <si>
    <t>Meadowvale The Original Breaded Chicken Strips</t>
  </si>
  <si>
    <t>Meadowvale Pickin' Chicken (10-20g)</t>
  </si>
  <si>
    <t>Homestyle Breaded Chicken Fillets (120g)</t>
  </si>
  <si>
    <t>Homestyle Hot &amp; Spicy Chicken Fillets (120g)</t>
  </si>
  <si>
    <t>Homestyle Southern Fried Chicken Fillets (120g)</t>
  </si>
  <si>
    <t>Homestyle Hot &amp; Spicy Chicken Strips (35g)</t>
  </si>
  <si>
    <t>Homestyle Southern Fried Chicken Strips (35g)</t>
  </si>
  <si>
    <t>Homestyle Breaded Chicken Strips (35g)</t>
  </si>
  <si>
    <t>Homestyle Hot &amp; Spicy Chicken Bites (15g)</t>
  </si>
  <si>
    <t>Homestyle Crunchy Shredded Chicken</t>
  </si>
  <si>
    <t>Homestyle Salt &amp; Pepper Shredded Chicken</t>
  </si>
  <si>
    <t>Homestyle Buttermilk Chicken Fillets (150g)</t>
  </si>
  <si>
    <t>Homestyle Salt &amp; Chilli Shredded Chicken</t>
  </si>
  <si>
    <t>Homestyle Crunchy Chicken XXL Fillet (200g)</t>
  </si>
  <si>
    <t>Homestyle Peri Peri Shredded Chicken</t>
  </si>
  <si>
    <t>American Ranch Ready Salted Chicken Krisps</t>
  </si>
  <si>
    <t>American Ranch BBQ Chicken Krisps</t>
  </si>
  <si>
    <t>American Ranch Battered Chunks</t>
  </si>
  <si>
    <t>Homestyle Breaded Fillets (120g)</t>
  </si>
  <si>
    <t>Homestyle Southern Fried Fillets (120g)</t>
  </si>
  <si>
    <t>Homestyle Salt &amp; Pepper Crispy Shredded</t>
  </si>
  <si>
    <t>N1452017</t>
  </si>
  <si>
    <t>Homestyle Buttermilk Chicken Strips</t>
  </si>
  <si>
    <t>Farmfoods Easy Cook Vegetable Spring Rolls (L027)</t>
  </si>
  <si>
    <t>Easy Cook Duck Spring Rolls (L028)</t>
  </si>
  <si>
    <t>Easy Cook Vegetable Samosas (L066)</t>
  </si>
  <si>
    <t>Home Bargains 10 Duck Spring Rolls</t>
  </si>
  <si>
    <t>Home Bargains 16 Vegetable Spring Rolls</t>
  </si>
  <si>
    <t>Home Bargains 10 Onion Bhajis</t>
  </si>
  <si>
    <t>Meadowvale Steamed Cooked Fillets (150-230g)</t>
  </si>
  <si>
    <t>American Ranch Smoky Southern Fried Strips</t>
  </si>
  <si>
    <t>American Ranch Fiery Peri Peri Strips</t>
  </si>
  <si>
    <t>American Ranch Parmesan &amp; Truffle Bites</t>
  </si>
  <si>
    <t>Sizzling Original Chargrilled Chicken Skewers (100g)</t>
  </si>
  <si>
    <t>Sizzling Original Chargrilled Chicken Boneless Thigh (120g)</t>
  </si>
  <si>
    <t>Sizzling Piri Piri Chargrilled Chicken Boneless Thigh (120g)</t>
  </si>
  <si>
    <t>Sizzling Shawarma Chargrilled Chicken Boneless Thigh (120g)</t>
  </si>
  <si>
    <t>Sizzling Piri Piri Chargrilled Chicken Fillets (150g)</t>
  </si>
  <si>
    <t>Sizzling Original Chargrilled Chicken Fillets (150g)</t>
  </si>
  <si>
    <t>Aldi Peri Peri Chargrilled Chicken Breast Fillets</t>
  </si>
  <si>
    <t>Duck Halves Rst (260-280g)</t>
  </si>
  <si>
    <t>EWL (UAE)</t>
  </si>
  <si>
    <t>EWL (IRL)</t>
  </si>
  <si>
    <t>Far Logistics (UK)</t>
  </si>
  <si>
    <t>Far Logistics (FR)</t>
  </si>
  <si>
    <t>Country Style Pickin Chicken (15g)</t>
  </si>
  <si>
    <t>Country Style Breaded Strips</t>
  </si>
  <si>
    <t>Country Style Hot &amp; Spicy Strips</t>
  </si>
  <si>
    <t>N3452931</t>
  </si>
  <si>
    <t>N1412630</t>
  </si>
  <si>
    <t>Meadowvale Boneless Buffalo Wings</t>
  </si>
  <si>
    <t>Homestyle Southern Fried Strips (35g)</t>
  </si>
  <si>
    <t>C10243</t>
  </si>
  <si>
    <t>Niche Hot &amp; Spicy Fillets</t>
  </si>
  <si>
    <t>N3452930</t>
  </si>
  <si>
    <t>Flavours of the World Salt &amp; Pepper Tenders</t>
  </si>
  <si>
    <t>Burger'S New Orleans Breaded Chopsticks (45g)</t>
  </si>
  <si>
    <t>Country Style Hot &amp; Spicy Fillets (120g)</t>
  </si>
  <si>
    <t>Meadowvale Breaded Chicken Mini Fillets (40g)</t>
  </si>
  <si>
    <t>Country Style Southern Fried Fillets</t>
  </si>
  <si>
    <t>G3452601</t>
  </si>
  <si>
    <t>Burger'S Sweet BBQ Prime Chicken Wings</t>
  </si>
  <si>
    <t>C10240</t>
  </si>
  <si>
    <t>Home Bargains Hot Honey Chicken Breast Strips (73017)</t>
  </si>
  <si>
    <t>C10241</t>
  </si>
  <si>
    <t>C10242</t>
  </si>
  <si>
    <t>N1415019</t>
  </si>
  <si>
    <t>Home Bargains Chicken Nuggets</t>
  </si>
  <si>
    <t>G1452801</t>
  </si>
  <si>
    <t>Aldi Mixed Chargrilled Peri Peri Breast &amp; Thigh</t>
  </si>
  <si>
    <t>KO06</t>
  </si>
  <si>
    <t>B3401311</t>
  </si>
  <si>
    <t>Hippo Tex Mex Prime Wings</t>
  </si>
  <si>
    <t>G1452500</t>
  </si>
  <si>
    <t>Caprinos Hot &amp; Spicy Wings</t>
  </si>
  <si>
    <t>G3412801</t>
  </si>
  <si>
    <t>Hot &amp; Spicy Mid &amp; Prime Wings</t>
  </si>
  <si>
    <t>N1412605</t>
  </si>
  <si>
    <t>Pizza Go Go Crispy Hot Wings</t>
  </si>
  <si>
    <t>N1412624</t>
  </si>
  <si>
    <t>Meadowvale Hot &amp; Spicy Coated Chicken Wings</t>
  </si>
  <si>
    <t>N1412625</t>
  </si>
  <si>
    <t>N1412627</t>
  </si>
  <si>
    <t>Country Style Hot &amp; Spicy Crispy Wings</t>
  </si>
  <si>
    <t>N1412628</t>
  </si>
  <si>
    <t>Meadowvale Crunchy Chicken Wings</t>
  </si>
  <si>
    <t>N1452121</t>
  </si>
  <si>
    <t>American Ranch Crunchy Chicken Wings</t>
  </si>
  <si>
    <t>N3412600</t>
  </si>
  <si>
    <t>Takeaway Hot &amp; Spicy Chicken Wings</t>
  </si>
  <si>
    <t>N3412606</t>
  </si>
  <si>
    <t>Country Style Hot &amp; Spicy Mid &amp; Prime Wings</t>
  </si>
  <si>
    <t>N3412803</t>
  </si>
  <si>
    <t>Country Style Breaded Crispy Wings</t>
  </si>
  <si>
    <t>SK01</t>
  </si>
  <si>
    <t>B3413700</t>
  </si>
  <si>
    <t>Party Food Plain Mini Skewers (15g)</t>
  </si>
  <si>
    <t>B3413701</t>
  </si>
  <si>
    <t>Party Food Satay Mini Skewers (15g)</t>
  </si>
  <si>
    <t>B3413702</t>
  </si>
  <si>
    <t>Party Food Tikka Mini Skewers (15g)</t>
  </si>
  <si>
    <t>SP02</t>
  </si>
  <si>
    <t>TERMINAL HANDLING/PORT FEES</t>
  </si>
  <si>
    <t>HAMSHALL B46/SOLIHULL B90</t>
  </si>
  <si>
    <t>WARRINGTON WA3/WA5</t>
  </si>
  <si>
    <t>BRISTOL BS35</t>
  </si>
  <si>
    <t>WIRRAL CH41</t>
  </si>
  <si>
    <t>HULL HU14</t>
  </si>
  <si>
    <t>NEWCASTLE NE28</t>
  </si>
  <si>
    <t>PETERBOROUGH PE1</t>
  </si>
  <si>
    <t>AMESBURY SP4</t>
  </si>
  <si>
    <t>LIVERPOOL L11</t>
  </si>
  <si>
    <t>GENSET (IF NEEDED)</t>
  </si>
  <si>
    <t>Insurance (per FCL)</t>
  </si>
  <si>
    <t>Flavours of the World Tikka Massala Tenders</t>
  </si>
  <si>
    <t>LA Diner Battered Chicken Bites (E501)</t>
  </si>
  <si>
    <t>Home Bargains Hot &amp; Spicy Fillets (60992)</t>
  </si>
  <si>
    <t>N1452116T</t>
  </si>
  <si>
    <t>American Ranch Crispy Shredded Chicken</t>
  </si>
  <si>
    <t>Home Bargains BBQ Chicken Tenders (81463)</t>
  </si>
  <si>
    <t>Home Bargains Katsu Chicken Tenders (81461)</t>
  </si>
  <si>
    <t>G1452800</t>
  </si>
  <si>
    <t>MA97</t>
  </si>
  <si>
    <t>A1452201</t>
  </si>
  <si>
    <t>Farmfoods Carvery Roast Chicken Joint (E637)</t>
  </si>
  <si>
    <t>A1452202</t>
  </si>
  <si>
    <t>Farmfoods Carvery Stuffed Chicken Joint (E638)</t>
  </si>
  <si>
    <t>PE01</t>
  </si>
  <si>
    <t>B1400802</t>
  </si>
  <si>
    <t>Meadowvale Cooked Chicken Breast 255-312g/9-11oz</t>
  </si>
  <si>
    <t>EWL (Hamburg)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</si>
</sst>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4" formatCode="_-&quot;£&quot;* #,##0.00_-;\-&quot;£&quot;* #,##0.00_-;_-&quot;£&quot;* &quot;-&quot;??_-;_-@_-"/>
    <numFmt numFmtId="43" formatCode="_-* #,##0.00_-;\-* #,##0.00_-;_-* &quot;-&quot;??_-;_-@_-"/>
    <numFmt numFmtId="164" formatCode="\£#,##0.00"/>
    <numFmt numFmtId="165" formatCode="\$#,##0;\-\$#,##0"/>
    <numFmt numFmtId="166" formatCode="&quot;£&quot;#,##0"/>
    <numFmt numFmtId="167" formatCode="_-* #,##0_-;\-* #,##0_-;_-* &quot;-&quot;??_-;_-@_-"/>
    <numFmt numFmtId="168" formatCode="\£#,##0"/>
    <numFmt numFmtId="169" formatCode="\$#,##0"/>
    <numFmt numFmtId="170" formatCode="[$$-409]#,##0"/>
    <numFmt numFmtId="171" formatCode="#,##0.000"/>
    <numFmt numFmtId="172" formatCode="&quot;£&quot;#,##0.00"/>
    <numFmt numFmtId="173" formatCode="_-&quot;£&quot;* #,##0.000_-;\-&quot;£&quot;* #,##0.000_-;_-&quot;£&quot;* &quot;-&quot;???_-;_-@_-"/>
    <numFmt numFmtId="175" formatCode="[$$-540A]#,##0_ ;\-[$$-540A]#,##0\ "/>
    <numFmt numFmtId="179" formatCode="[$$-540A]#,##0.00"/>
  </numFmts>
  <fonts count="42" x14ac:knownFonts="1">
    <font>
      <sz val="11"/>
      <color theme="1"/>
      <name val="Calibri"/>
      <family val="2"/>
      <scheme val="minor"/>
    </font>
    <font>
      <sz val="11"/>
      <color theme="1"/>
      <name val="Calibri"/>
      <family val="2"/>
      <scheme val="minor"/>
    </font>
    <font>
      <b/>
      <sz val="11"/>
      <color theme="1"/>
      <name val="Calibri"/>
      <family val="2"/>
      <scheme val="minor"/>
    </font>
    <font>
      <b/>
      <sz val="18"/>
      <color theme="1"/>
      <name val="Calibri"/>
      <family val="2"/>
      <scheme val="minor"/>
    </font>
    <font>
      <sz val="14"/>
      <color theme="1"/>
      <name val="Calibri"/>
      <family val="2"/>
      <scheme val="minor"/>
    </font>
    <font>
      <sz val="8"/>
      <color theme="0" tint="-0.14999847407452621"/>
      <name val="Calibri"/>
      <family val="2"/>
      <scheme val="minor"/>
    </font>
    <font>
      <sz val="8"/>
      <color theme="0" tint="-0.249977111117893"/>
      <name val="Calibri"/>
      <family val="2"/>
      <scheme val="minor"/>
    </font>
    <font>
      <b/>
      <u/>
      <sz val="11"/>
      <color theme="1"/>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b/>
      <u/>
      <sz val="18"/>
      <color theme="1"/>
      <name val="Calibri"/>
      <family val="2"/>
      <scheme val="minor"/>
    </font>
    <font>
      <sz val="10"/>
      <color theme="1"/>
      <name val="Calibri"/>
      <family val="2"/>
      <scheme val="minor"/>
    </font>
    <font>
      <b/>
      <sz val="8"/>
      <color theme="2"/>
      <name val="Calibri"/>
      <family val="2"/>
      <scheme val="minor"/>
    </font>
    <font>
      <sz val="8"/>
      <color theme="2"/>
      <name val="Calibri"/>
      <family val="2"/>
      <scheme val="minor"/>
    </font>
    <font>
      <u/>
      <sz val="11"/>
      <color theme="1"/>
      <name val="Calibri"/>
      <family val="2"/>
      <scheme val="minor"/>
    </font>
    <font>
      <sz val="9"/>
      <color theme="1" tint="0.499984740745262"/>
      <name val="Calibri"/>
      <family val="2"/>
      <scheme val="minor"/>
    </font>
    <font>
      <sz val="11"/>
      <color theme="1" tint="0.499984740745262"/>
      <name val="Calibri"/>
      <family val="2"/>
      <scheme val="minor"/>
    </font>
    <font>
      <sz val="14"/>
      <color theme="1" tint="0.499984740745262"/>
      <name val="Calibri"/>
      <family val="2"/>
      <scheme val="minor"/>
    </font>
    <font>
      <sz val="12"/>
      <color theme="0" tint="-4.9989318521683403E-2"/>
      <name val="Calibri"/>
      <family val="2"/>
      <scheme val="minor"/>
    </font>
    <font>
      <sz val="10"/>
      <name val="Arial"/>
      <family val="2"/>
    </font>
    <font>
      <i/>
      <sz val="10"/>
      <color theme="1"/>
      <name val="Calibri"/>
      <family val="2"/>
      <scheme val="minor"/>
    </font>
    <font>
      <b/>
      <i/>
      <sz val="10"/>
      <color theme="1"/>
      <name val="Calibri"/>
      <family val="2"/>
      <scheme val="minor"/>
    </font>
    <font>
      <b/>
      <sz val="8"/>
      <color theme="1" tint="0.499984740745262"/>
      <name val="Calibri"/>
      <family val="2"/>
      <scheme val="minor"/>
    </font>
    <font>
      <sz val="8"/>
      <color theme="1" tint="0.499984740745262"/>
      <name val="Calibri"/>
      <family val="2"/>
      <scheme val="minor"/>
    </font>
    <font>
      <b/>
      <sz val="14"/>
      <color theme="1"/>
      <name val="Calibri"/>
      <family val="2"/>
      <scheme val="minor"/>
    </font>
    <font>
      <b/>
      <sz val="16"/>
      <color theme="1"/>
      <name val="Calibri"/>
      <family val="2"/>
      <scheme val="minor"/>
    </font>
    <font>
      <b/>
      <sz val="11"/>
      <color theme="0"/>
      <name val="Calibri"/>
      <family val="2"/>
      <scheme val="minor"/>
    </font>
    <font>
      <sz val="11"/>
      <color theme="0"/>
      <name val="Calibri"/>
      <family val="2"/>
      <scheme val="minor"/>
    </font>
    <font>
      <b/>
      <sz val="11"/>
      <color theme="5" tint="-0.249977111117893"/>
      <name val="Calibri"/>
      <family val="2"/>
      <scheme val="minor"/>
    </font>
    <font>
      <b/>
      <sz val="11"/>
      <color rgb="FF92D050"/>
      <name val="Calibri"/>
      <family val="2"/>
      <scheme val="minor"/>
    </font>
    <font>
      <sz val="8"/>
      <name val="Calibri"/>
      <family val="2"/>
      <scheme val="minor"/>
    </font>
    <font>
      <sz val="11"/>
      <color theme="5" tint="-0.249977111117893"/>
      <name val="Calibri"/>
      <family val="2"/>
      <scheme val="minor"/>
    </font>
    <font>
      <b/>
      <u/>
      <sz val="12"/>
      <color theme="1"/>
      <name val="Calibri"/>
      <family val="2"/>
      <scheme val="minor"/>
    </font>
    <font>
      <sz val="11"/>
      <color rgb="FFFF0000"/>
      <name val="Calibri"/>
      <family val="2"/>
      <scheme val="minor"/>
    </font>
    <font>
      <b/>
      <sz val="10"/>
      <color theme="0"/>
      <name val="Calibri"/>
      <family val="2"/>
      <scheme val="minor"/>
    </font>
    <font>
      <b/>
      <sz val="8"/>
      <color theme="1"/>
      <name val="Calibri"/>
      <family val="2"/>
      <scheme val="minor"/>
    </font>
    <font>
      <b/>
      <sz val="12"/>
      <color indexed="81"/>
      <name val="Tahoma"/>
      <family val="2"/>
    </font>
    <font>
      <sz val="12"/>
      <color indexed="81"/>
      <name val="Tahoma"/>
      <family val="2"/>
    </font>
    <font>
      <b/>
      <sz val="14"/>
      <color indexed="81"/>
      <name val="Tahoma"/>
      <family val="2"/>
    </font>
    <font>
      <sz val="9"/>
      <color theme="1"/>
      <name val="Calibri"/>
      <family val="2"/>
      <scheme val="minor"/>
    </font>
  </fonts>
  <fills count="21">
    <fill>
      <patternFill patternType="none"/>
    </fill>
    <fill>
      <patternFill patternType="gray125"/>
    </fill>
    <fill>
      <patternFill patternType="solid">
        <fgColor rgb="FF92D050"/>
        <bgColor indexed="64"/>
      </patternFill>
    </fill>
    <fill>
      <patternFill patternType="solid">
        <fgColor theme="5" tint="0.39997558519241921"/>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7" tint="0.59999389629810485"/>
        <bgColor theme="7" tint="0.59999389629810485"/>
      </patternFill>
    </fill>
    <fill>
      <patternFill patternType="solid">
        <fgColor theme="1" tint="0.249977111117893"/>
        <bgColor indexed="64"/>
      </patternFill>
    </fill>
    <fill>
      <patternFill patternType="solid">
        <fgColor theme="5" tint="0.79998168889431442"/>
        <bgColor indexed="64"/>
      </patternFill>
    </fill>
    <fill>
      <patternFill patternType="solid">
        <fgColor theme="3"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0" tint="-0.34998626667073579"/>
        <bgColor indexed="64"/>
      </patternFill>
    </fill>
    <fill>
      <patternFill patternType="solid">
        <fgColor theme="0" tint="-0.499984740745262"/>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right/>
      <top/>
      <bottom style="medium">
        <color theme="1"/>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theme="0" tint="-0.249977111117893"/>
      </left>
      <right style="medium">
        <color indexed="64"/>
      </right>
      <top style="thin">
        <color theme="0" tint="-0.249977111117893"/>
      </top>
      <bottom style="thin">
        <color theme="0" tint="-0.249977111117893"/>
      </bottom>
      <diagonal/>
    </border>
    <border>
      <left/>
      <right/>
      <top style="medium">
        <color indexed="64"/>
      </top>
      <bottom style="medium">
        <color indexed="64"/>
      </bottom>
      <diagonal/>
    </border>
    <border>
      <left style="thin">
        <color indexed="64"/>
      </left>
      <right/>
      <top style="thin">
        <color indexed="64"/>
      </top>
      <bottom style="medium">
        <color indexed="64"/>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1" fillId="0" borderId="0" applyProtection="0">
      <alignment horizontal="left" vertical="center" wrapText="1" indent="1"/>
    </xf>
    <xf numFmtId="0" fontId="21" fillId="0" borderId="0"/>
  </cellStyleXfs>
  <cellXfs count="459">
    <xf numFmtId="0" fontId="0" fillId="0" borderId="0" xfId="0"/>
    <xf numFmtId="0" fontId="10" fillId="0" borderId="0" xfId="0" applyFont="1"/>
    <xf numFmtId="0" fontId="11" fillId="0" borderId="0" xfId="0" applyFont="1"/>
    <xf numFmtId="0" fontId="11" fillId="3" borderId="12" xfId="0" applyFont="1" applyFill="1" applyBorder="1" applyAlignment="1">
      <alignment horizontal="center" vertical="center" wrapText="1"/>
    </xf>
    <xf numFmtId="0" fontId="11" fillId="3" borderId="1" xfId="0" applyFont="1" applyFill="1" applyBorder="1" applyAlignment="1">
      <alignment horizontal="center" vertical="center" wrapText="1"/>
    </xf>
    <xf numFmtId="0" fontId="11" fillId="3" borderId="13" xfId="0" applyFont="1" applyFill="1" applyBorder="1" applyAlignment="1">
      <alignment horizontal="center" vertical="center" wrapText="1"/>
    </xf>
    <xf numFmtId="0" fontId="11" fillId="3" borderId="3" xfId="0" applyFont="1" applyFill="1" applyBorder="1" applyAlignment="1">
      <alignment horizontal="center" vertical="center" wrapText="1"/>
    </xf>
    <xf numFmtId="0" fontId="11" fillId="2" borderId="1" xfId="0" applyFont="1" applyFill="1" applyBorder="1" applyAlignment="1">
      <alignment horizontal="center" vertical="center" wrapText="1"/>
    </xf>
    <xf numFmtId="0" fontId="0" fillId="4" borderId="4" xfId="0" applyFill="1" applyBorder="1"/>
    <xf numFmtId="0" fontId="0" fillId="4" borderId="7" xfId="0" applyFill="1" applyBorder="1"/>
    <xf numFmtId="167" fontId="0" fillId="4" borderId="8" xfId="1" applyNumberFormat="1" applyFont="1" applyFill="1" applyBorder="1" applyAlignment="1">
      <alignment horizontal="left" vertical="center"/>
    </xf>
    <xf numFmtId="43" fontId="0" fillId="4" borderId="6" xfId="1" applyFont="1" applyFill="1" applyBorder="1" applyAlignment="1">
      <alignment horizontal="left"/>
    </xf>
    <xf numFmtId="0" fontId="7" fillId="5" borderId="19" xfId="0" applyFont="1" applyFill="1" applyBorder="1"/>
    <xf numFmtId="0" fontId="16" fillId="5" borderId="20" xfId="0" applyFont="1" applyFill="1" applyBorder="1"/>
    <xf numFmtId="0" fontId="0" fillId="5" borderId="21" xfId="0" applyFill="1" applyBorder="1"/>
    <xf numFmtId="167" fontId="0" fillId="6" borderId="6" xfId="1" applyNumberFormat="1" applyFont="1" applyFill="1" applyBorder="1" applyAlignment="1">
      <alignment horizontal="left" vertical="center"/>
    </xf>
    <xf numFmtId="167" fontId="0" fillId="6" borderId="8" xfId="1" applyNumberFormat="1" applyFont="1" applyFill="1" applyBorder="1" applyAlignment="1">
      <alignment horizontal="left" vertical="center"/>
    </xf>
    <xf numFmtId="0" fontId="7" fillId="7" borderId="4" xfId="0" applyFont="1" applyFill="1" applyBorder="1" applyAlignment="1">
      <alignment horizontal="left"/>
    </xf>
    <xf numFmtId="3" fontId="0" fillId="7" borderId="5" xfId="0" applyNumberFormat="1" applyFill="1" applyBorder="1"/>
    <xf numFmtId="0" fontId="0" fillId="7" borderId="6" xfId="0" applyFill="1" applyBorder="1"/>
    <xf numFmtId="0" fontId="3" fillId="4" borderId="4" xfId="0" applyFont="1" applyFill="1" applyBorder="1"/>
    <xf numFmtId="0" fontId="0" fillId="4" borderId="5" xfId="0" applyFill="1" applyBorder="1"/>
    <xf numFmtId="0" fontId="7" fillId="4" borderId="5" xfId="0" applyFont="1" applyFill="1" applyBorder="1" applyAlignment="1">
      <alignment horizontal="left"/>
    </xf>
    <xf numFmtId="3" fontId="0" fillId="4" borderId="5" xfId="0" applyNumberFormat="1" applyFill="1" applyBorder="1"/>
    <xf numFmtId="0" fontId="0" fillId="4" borderId="6" xfId="0" applyFill="1" applyBorder="1"/>
    <xf numFmtId="0" fontId="3" fillId="4" borderId="7" xfId="0" applyFont="1" applyFill="1" applyBorder="1"/>
    <xf numFmtId="0" fontId="0" fillId="4" borderId="8" xfId="0" applyFill="1" applyBorder="1"/>
    <xf numFmtId="0" fontId="12" fillId="4" borderId="7" xfId="0" applyFont="1" applyFill="1" applyBorder="1"/>
    <xf numFmtId="0" fontId="11" fillId="3" borderId="22" xfId="0" applyFont="1" applyFill="1" applyBorder="1" applyAlignment="1">
      <alignment horizontal="center" vertical="center" wrapText="1"/>
    </xf>
    <xf numFmtId="0" fontId="14" fillId="4" borderId="8" xfId="0" applyFont="1" applyFill="1" applyBorder="1" applyAlignment="1">
      <alignment wrapText="1"/>
    </xf>
    <xf numFmtId="0" fontId="15" fillId="4" borderId="8" xfId="0" applyFont="1" applyFill="1" applyBorder="1"/>
    <xf numFmtId="0" fontId="10" fillId="4" borderId="7" xfId="0" applyFont="1" applyFill="1" applyBorder="1"/>
    <xf numFmtId="0" fontId="10" fillId="4" borderId="8" xfId="0" applyFont="1" applyFill="1" applyBorder="1"/>
    <xf numFmtId="0" fontId="11" fillId="2" borderId="12" xfId="0" applyFont="1" applyFill="1" applyBorder="1" applyAlignment="1">
      <alignment horizontal="center" vertical="center" wrapText="1"/>
    </xf>
    <xf numFmtId="0" fontId="0" fillId="4" borderId="10" xfId="0" applyFill="1" applyBorder="1"/>
    <xf numFmtId="0" fontId="0" fillId="4" borderId="11" xfId="0" applyFill="1" applyBorder="1"/>
    <xf numFmtId="0" fontId="10" fillId="6" borderId="1" xfId="0" applyFont="1" applyFill="1" applyBorder="1"/>
    <xf numFmtId="0" fontId="10" fillId="6" borderId="1" xfId="0" applyFont="1" applyFill="1" applyBorder="1" applyAlignment="1">
      <alignment vertical="center"/>
    </xf>
    <xf numFmtId="0" fontId="10" fillId="6" borderId="12" xfId="0" applyFont="1" applyFill="1" applyBorder="1" applyAlignment="1">
      <alignment vertical="center"/>
    </xf>
    <xf numFmtId="167" fontId="10" fillId="6" borderId="12" xfId="1" applyNumberFormat="1" applyFont="1" applyFill="1" applyBorder="1" applyAlignment="1">
      <alignment vertical="center"/>
    </xf>
    <xf numFmtId="164" fontId="10" fillId="6" borderId="1" xfId="0" applyNumberFormat="1" applyFont="1" applyFill="1" applyBorder="1" applyAlignment="1">
      <alignment vertical="center"/>
    </xf>
    <xf numFmtId="0" fontId="10" fillId="6" borderId="12" xfId="0" applyFont="1" applyFill="1" applyBorder="1" applyAlignment="1">
      <alignment horizontal="center" vertical="center"/>
    </xf>
    <xf numFmtId="164" fontId="10" fillId="6" borderId="1" xfId="0" applyNumberFormat="1" applyFont="1" applyFill="1" applyBorder="1" applyAlignment="1">
      <alignment horizontal="center" vertical="center"/>
    </xf>
    <xf numFmtId="43" fontId="10" fillId="6" borderId="1" xfId="1" applyFont="1" applyFill="1" applyBorder="1" applyAlignment="1">
      <alignment horizontal="center" vertical="center"/>
    </xf>
    <xf numFmtId="10" fontId="10" fillId="6" borderId="1" xfId="2" applyNumberFormat="1" applyFont="1" applyFill="1" applyBorder="1" applyAlignment="1">
      <alignment horizontal="center" vertical="center"/>
    </xf>
    <xf numFmtId="43" fontId="10" fillId="6" borderId="1" xfId="1" applyFont="1" applyFill="1" applyBorder="1" applyAlignment="1">
      <alignment vertical="center"/>
    </xf>
    <xf numFmtId="0" fontId="10" fillId="6" borderId="24" xfId="0" applyFont="1" applyFill="1" applyBorder="1" applyAlignment="1">
      <alignment vertical="center"/>
    </xf>
    <xf numFmtId="0" fontId="10" fillId="4" borderId="1" xfId="0" applyFont="1" applyFill="1" applyBorder="1" applyAlignment="1">
      <alignment vertical="center"/>
    </xf>
    <xf numFmtId="0" fontId="10" fillId="4" borderId="12" xfId="0" applyFont="1" applyFill="1" applyBorder="1" applyAlignment="1">
      <alignment vertical="center"/>
    </xf>
    <xf numFmtId="0" fontId="10" fillId="4" borderId="12" xfId="0" applyFont="1" applyFill="1" applyBorder="1" applyAlignment="1">
      <alignment horizontal="center" vertical="center"/>
    </xf>
    <xf numFmtId="164" fontId="10" fillId="4" borderId="1" xfId="0" applyNumberFormat="1" applyFont="1" applyFill="1" applyBorder="1" applyAlignment="1">
      <alignment horizontal="center" vertical="center"/>
    </xf>
    <xf numFmtId="43" fontId="10" fillId="4" borderId="1" xfId="1" applyFont="1" applyFill="1" applyBorder="1" applyAlignment="1">
      <alignment horizontal="center" vertical="center"/>
    </xf>
    <xf numFmtId="10" fontId="10" fillId="4" borderId="1" xfId="2" applyNumberFormat="1" applyFont="1" applyFill="1" applyBorder="1" applyAlignment="1">
      <alignment horizontal="center" vertical="center"/>
    </xf>
    <xf numFmtId="0" fontId="10" fillId="4" borderId="1" xfId="0" applyFont="1" applyFill="1" applyBorder="1" applyAlignment="1">
      <alignment horizontal="center" vertical="center"/>
    </xf>
    <xf numFmtId="170" fontId="10" fillId="6" borderId="1" xfId="0" applyNumberFormat="1" applyFont="1" applyFill="1" applyBorder="1" applyAlignment="1">
      <alignment horizontal="center" vertical="center"/>
    </xf>
    <xf numFmtId="0" fontId="10" fillId="6" borderId="1" xfId="0" applyFont="1" applyFill="1" applyBorder="1" applyAlignment="1">
      <alignment horizontal="center" vertical="center"/>
    </xf>
    <xf numFmtId="0" fontId="10" fillId="6" borderId="25" xfId="0" applyFont="1" applyFill="1" applyBorder="1" applyAlignment="1">
      <alignment horizontal="center" vertical="center"/>
    </xf>
    <xf numFmtId="0" fontId="0" fillId="4" borderId="0" xfId="0" applyFill="1"/>
    <xf numFmtId="0" fontId="0" fillId="11" borderId="26" xfId="0" applyFill="1" applyBorder="1"/>
    <xf numFmtId="0" fontId="15" fillId="11" borderId="27" xfId="0" applyFont="1" applyFill="1" applyBorder="1"/>
    <xf numFmtId="164" fontId="10" fillId="4" borderId="1" xfId="0" applyNumberFormat="1" applyFont="1" applyFill="1" applyBorder="1"/>
    <xf numFmtId="164" fontId="10" fillId="6" borderId="1" xfId="0" applyNumberFormat="1" applyFont="1" applyFill="1" applyBorder="1"/>
    <xf numFmtId="10" fontId="10" fillId="6" borderId="1" xfId="2" applyNumberFormat="1" applyFont="1" applyFill="1" applyBorder="1"/>
    <xf numFmtId="0" fontId="11" fillId="3" borderId="2" xfId="0" applyFont="1" applyFill="1" applyBorder="1" applyAlignment="1">
      <alignment horizontal="center" vertical="center" wrapText="1"/>
    </xf>
    <xf numFmtId="164" fontId="10" fillId="0" borderId="1" xfId="0" applyNumberFormat="1" applyFont="1" applyBorder="1" applyAlignment="1">
      <alignment horizontal="center" vertical="center"/>
    </xf>
    <xf numFmtId="43" fontId="10" fillId="4" borderId="1" xfId="1" applyFont="1" applyFill="1" applyBorder="1"/>
    <xf numFmtId="10" fontId="10" fillId="4" borderId="1" xfId="2" applyNumberFormat="1" applyFont="1" applyFill="1" applyBorder="1"/>
    <xf numFmtId="43" fontId="10" fillId="6" borderId="1" xfId="1" applyFont="1" applyFill="1" applyBorder="1"/>
    <xf numFmtId="0" fontId="0" fillId="0" borderId="7" xfId="0" applyBorder="1"/>
    <xf numFmtId="0" fontId="0" fillId="11" borderId="30" xfId="0" applyFill="1" applyBorder="1" applyAlignment="1">
      <alignment horizontal="center" vertical="center"/>
    </xf>
    <xf numFmtId="0" fontId="0" fillId="11" borderId="0" xfId="0" applyFill="1" applyAlignment="1">
      <alignment horizontal="center" vertical="center"/>
    </xf>
    <xf numFmtId="0" fontId="0" fillId="11" borderId="31" xfId="0" applyFill="1" applyBorder="1" applyAlignment="1">
      <alignment horizontal="center" vertical="center"/>
    </xf>
    <xf numFmtId="0" fontId="11" fillId="3" borderId="36" xfId="0" applyFont="1" applyFill="1" applyBorder="1" applyAlignment="1">
      <alignment horizontal="center" vertical="center" wrapText="1"/>
    </xf>
    <xf numFmtId="0" fontId="11" fillId="2" borderId="3" xfId="0" applyFont="1" applyFill="1" applyBorder="1" applyAlignment="1">
      <alignment horizontal="center" vertical="center" wrapText="1"/>
    </xf>
    <xf numFmtId="0" fontId="10" fillId="4" borderId="13" xfId="0" applyFont="1" applyFill="1" applyBorder="1" applyAlignment="1">
      <alignment horizontal="center" vertical="center"/>
    </xf>
    <xf numFmtId="0" fontId="10" fillId="6" borderId="13" xfId="0" applyFont="1" applyFill="1" applyBorder="1" applyAlignment="1">
      <alignment horizontal="center" vertical="center"/>
    </xf>
    <xf numFmtId="168" fontId="10" fillId="4" borderId="13" xfId="0" applyNumberFormat="1" applyFont="1" applyFill="1" applyBorder="1" applyAlignment="1">
      <alignment horizontal="center" vertical="center"/>
    </xf>
    <xf numFmtId="169" fontId="10" fillId="6" borderId="13" xfId="0" applyNumberFormat="1" applyFont="1" applyFill="1" applyBorder="1" applyAlignment="1">
      <alignment horizontal="center" vertical="center"/>
    </xf>
    <xf numFmtId="167" fontId="10" fillId="6" borderId="12" xfId="1" applyNumberFormat="1" applyFont="1" applyFill="1" applyBorder="1" applyAlignment="1">
      <alignment horizontal="center" vertical="center"/>
    </xf>
    <xf numFmtId="0" fontId="10" fillId="4" borderId="0" xfId="0" applyFont="1" applyFill="1"/>
    <xf numFmtId="0" fontId="7" fillId="4" borderId="0" xfId="0" applyFont="1" applyFill="1" applyAlignment="1">
      <alignment horizontal="left"/>
    </xf>
    <xf numFmtId="3" fontId="0" fillId="4" borderId="0" xfId="0" applyNumberFormat="1" applyFill="1"/>
    <xf numFmtId="0" fontId="18" fillId="4" borderId="0" xfId="0" applyFont="1" applyFill="1"/>
    <xf numFmtId="0" fontId="19" fillId="4" borderId="0" xfId="0" applyFont="1" applyFill="1"/>
    <xf numFmtId="0" fontId="17" fillId="4" borderId="0" xfId="0" applyFont="1" applyFill="1"/>
    <xf numFmtId="0" fontId="2" fillId="4" borderId="0" xfId="0" applyFont="1" applyFill="1" applyAlignment="1">
      <alignment horizontal="right" vertical="center"/>
    </xf>
    <xf numFmtId="0" fontId="2" fillId="4" borderId="0" xfId="0" applyFont="1" applyFill="1" applyAlignment="1">
      <alignment horizontal="right"/>
    </xf>
    <xf numFmtId="0" fontId="0" fillId="4" borderId="9" xfId="0" applyFill="1" applyBorder="1"/>
    <xf numFmtId="2" fontId="10" fillId="6" borderId="1" xfId="1" applyNumberFormat="1" applyFont="1" applyFill="1" applyBorder="1" applyAlignment="1">
      <alignment horizontal="center" vertical="center"/>
    </xf>
    <xf numFmtId="0" fontId="2" fillId="4" borderId="0" xfId="0" applyFont="1" applyFill="1"/>
    <xf numFmtId="0" fontId="0" fillId="6" borderId="7" xfId="0" applyFill="1" applyBorder="1"/>
    <xf numFmtId="0" fontId="10" fillId="4" borderId="24" xfId="0" applyFont="1" applyFill="1" applyBorder="1" applyAlignment="1">
      <alignment vertical="center"/>
    </xf>
    <xf numFmtId="0" fontId="10" fillId="4" borderId="25" xfId="0" applyFont="1" applyFill="1" applyBorder="1" applyAlignment="1">
      <alignment horizontal="center" vertical="center"/>
    </xf>
    <xf numFmtId="0" fontId="0" fillId="14" borderId="4" xfId="0" applyFill="1" applyBorder="1"/>
    <xf numFmtId="0" fontId="0" fillId="14" borderId="5" xfId="0" applyFill="1" applyBorder="1"/>
    <xf numFmtId="0" fontId="0" fillId="14" borderId="6" xfId="0" applyFill="1" applyBorder="1"/>
    <xf numFmtId="0" fontId="0" fillId="14" borderId="7" xfId="0" applyFill="1" applyBorder="1"/>
    <xf numFmtId="0" fontId="10" fillId="14" borderId="7" xfId="0" applyFont="1" applyFill="1" applyBorder="1"/>
    <xf numFmtId="0" fontId="0" fillId="14" borderId="23" xfId="0" applyFill="1" applyBorder="1"/>
    <xf numFmtId="0" fontId="0" fillId="14" borderId="9" xfId="0" applyFill="1" applyBorder="1"/>
    <xf numFmtId="0" fontId="0" fillId="14" borderId="8" xfId="0" applyFill="1" applyBorder="1"/>
    <xf numFmtId="0" fontId="11" fillId="14" borderId="8" xfId="0" applyFont="1" applyFill="1" applyBorder="1" applyAlignment="1">
      <alignment wrapText="1"/>
    </xf>
    <xf numFmtId="43" fontId="10" fillId="14" borderId="8" xfId="1" applyFont="1" applyFill="1" applyBorder="1"/>
    <xf numFmtId="0" fontId="10" fillId="14" borderId="8" xfId="0" applyFont="1" applyFill="1" applyBorder="1"/>
    <xf numFmtId="0" fontId="0" fillId="14" borderId="11" xfId="0" applyFill="1" applyBorder="1"/>
    <xf numFmtId="0" fontId="0" fillId="14" borderId="10" xfId="0" applyFill="1" applyBorder="1"/>
    <xf numFmtId="0" fontId="24" fillId="4" borderId="8" xfId="0" applyFont="1" applyFill="1" applyBorder="1" applyAlignment="1">
      <alignment horizontal="center" vertical="center" wrapText="1"/>
    </xf>
    <xf numFmtId="0" fontId="25" fillId="4" borderId="8" xfId="0" applyFont="1" applyFill="1" applyBorder="1" applyAlignment="1">
      <alignment horizontal="center" vertical="center"/>
    </xf>
    <xf numFmtId="0" fontId="26" fillId="3" borderId="19" xfId="0" applyFont="1" applyFill="1" applyBorder="1" applyAlignment="1">
      <alignment horizontal="center" vertical="center"/>
    </xf>
    <xf numFmtId="0" fontId="11" fillId="2" borderId="19" xfId="0" applyFont="1" applyFill="1" applyBorder="1" applyAlignment="1">
      <alignment horizontal="center" vertical="center"/>
    </xf>
    <xf numFmtId="0" fontId="3" fillId="6" borderId="4" xfId="0" applyFont="1" applyFill="1" applyBorder="1"/>
    <xf numFmtId="0" fontId="3" fillId="6" borderId="5" xfId="0" applyFont="1" applyFill="1" applyBorder="1"/>
    <xf numFmtId="0" fontId="0" fillId="6" borderId="5" xfId="0" applyFill="1" applyBorder="1"/>
    <xf numFmtId="0" fontId="0" fillId="6" borderId="6" xfId="0" applyFill="1" applyBorder="1"/>
    <xf numFmtId="0" fontId="0" fillId="6" borderId="8" xfId="0" applyFill="1" applyBorder="1"/>
    <xf numFmtId="0" fontId="10" fillId="6" borderId="8" xfId="0" applyFont="1" applyFill="1" applyBorder="1"/>
    <xf numFmtId="0" fontId="10" fillId="6" borderId="7" xfId="0" applyFont="1" applyFill="1" applyBorder="1"/>
    <xf numFmtId="0" fontId="0" fillId="6" borderId="10" xfId="0" applyFill="1" applyBorder="1"/>
    <xf numFmtId="0" fontId="0" fillId="6" borderId="11" xfId="0" applyFill="1" applyBorder="1"/>
    <xf numFmtId="0" fontId="2" fillId="13" borderId="1" xfId="0" applyFont="1" applyFill="1" applyBorder="1" applyAlignment="1">
      <alignment horizontal="center" vertical="center"/>
    </xf>
    <xf numFmtId="0" fontId="25" fillId="6" borderId="8" xfId="0" applyFont="1" applyFill="1" applyBorder="1"/>
    <xf numFmtId="0" fontId="24" fillId="6" borderId="8" xfId="0" applyFont="1" applyFill="1" applyBorder="1" applyAlignment="1">
      <alignment horizontal="center" vertical="center" wrapText="1"/>
    </xf>
    <xf numFmtId="0" fontId="3" fillId="2" borderId="19" xfId="0" applyFont="1" applyFill="1" applyBorder="1"/>
    <xf numFmtId="0" fontId="3" fillId="3" borderId="19" xfId="0" applyFont="1" applyFill="1" applyBorder="1" applyAlignment="1">
      <alignment horizontal="center" vertical="center"/>
    </xf>
    <xf numFmtId="3" fontId="10" fillId="15" borderId="1" xfId="0" applyNumberFormat="1" applyFont="1" applyFill="1" applyBorder="1" applyAlignment="1">
      <alignment horizontal="center" vertical="center"/>
    </xf>
    <xf numFmtId="3" fontId="10" fillId="9" borderId="1" xfId="0" applyNumberFormat="1" applyFont="1" applyFill="1" applyBorder="1" applyAlignment="1">
      <alignment horizontal="center" vertical="center"/>
    </xf>
    <xf numFmtId="0" fontId="10" fillId="10" borderId="12" xfId="0" applyFont="1" applyFill="1" applyBorder="1" applyAlignment="1">
      <alignment horizontal="center" vertical="center"/>
    </xf>
    <xf numFmtId="164" fontId="10" fillId="10" borderId="1" xfId="0" applyNumberFormat="1" applyFont="1" applyFill="1" applyBorder="1" applyAlignment="1">
      <alignment horizontal="center" vertical="center"/>
    </xf>
    <xf numFmtId="43" fontId="10" fillId="10" borderId="1" xfId="1" applyFont="1" applyFill="1" applyBorder="1" applyAlignment="1">
      <alignment horizontal="center" vertical="center"/>
    </xf>
    <xf numFmtId="10" fontId="10" fillId="10" borderId="1" xfId="2" applyNumberFormat="1" applyFont="1" applyFill="1" applyBorder="1" applyAlignment="1">
      <alignment horizontal="center" vertical="center"/>
    </xf>
    <xf numFmtId="0" fontId="10" fillId="8" borderId="12" xfId="0" applyFont="1" applyFill="1" applyBorder="1" applyAlignment="1">
      <alignment horizontal="center" vertical="center"/>
    </xf>
    <xf numFmtId="164" fontId="10" fillId="8" borderId="1" xfId="0" applyNumberFormat="1" applyFont="1" applyFill="1" applyBorder="1" applyAlignment="1">
      <alignment horizontal="center" vertical="center"/>
    </xf>
    <xf numFmtId="43" fontId="10" fillId="8" borderId="1" xfId="1" applyFont="1" applyFill="1" applyBorder="1" applyAlignment="1">
      <alignment horizontal="center" vertical="center"/>
    </xf>
    <xf numFmtId="10" fontId="10" fillId="8" borderId="1" xfId="2" applyNumberFormat="1" applyFont="1" applyFill="1" applyBorder="1" applyAlignment="1">
      <alignment horizontal="center" vertical="center"/>
    </xf>
    <xf numFmtId="0" fontId="10" fillId="15" borderId="1" xfId="0" applyFont="1" applyFill="1" applyBorder="1" applyAlignment="1">
      <alignment horizontal="center" vertical="center"/>
    </xf>
    <xf numFmtId="0" fontId="10" fillId="15" borderId="25" xfId="0" applyFont="1" applyFill="1" applyBorder="1" applyAlignment="1">
      <alignment horizontal="center" vertical="center"/>
    </xf>
    <xf numFmtId="170" fontId="10" fillId="15" borderId="1" xfId="0" applyNumberFormat="1" applyFont="1" applyFill="1" applyBorder="1" applyAlignment="1">
      <alignment horizontal="center" vertical="center"/>
    </xf>
    <xf numFmtId="0" fontId="10" fillId="9" borderId="1" xfId="0" applyFont="1" applyFill="1" applyBorder="1" applyAlignment="1">
      <alignment horizontal="center" vertical="center"/>
    </xf>
    <xf numFmtId="0" fontId="0" fillId="16" borderId="4" xfId="0" applyFill="1" applyBorder="1"/>
    <xf numFmtId="0" fontId="0" fillId="16" borderId="5" xfId="0" applyFill="1" applyBorder="1"/>
    <xf numFmtId="0" fontId="0" fillId="16" borderId="0" xfId="0" applyFill="1"/>
    <xf numFmtId="0" fontId="0" fillId="16" borderId="6" xfId="0" applyFill="1" applyBorder="1"/>
    <xf numFmtId="0" fontId="0" fillId="16" borderId="7" xfId="0" applyFill="1" applyBorder="1"/>
    <xf numFmtId="0" fontId="10" fillId="16" borderId="7" xfId="0" applyFont="1" applyFill="1" applyBorder="1"/>
    <xf numFmtId="0" fontId="0" fillId="16" borderId="8" xfId="0" applyFill="1" applyBorder="1"/>
    <xf numFmtId="0" fontId="11" fillId="16" borderId="8" xfId="0" applyFont="1" applyFill="1" applyBorder="1" applyAlignment="1">
      <alignment wrapText="1"/>
    </xf>
    <xf numFmtId="43" fontId="10" fillId="16" borderId="8" xfId="1" applyFont="1" applyFill="1" applyBorder="1"/>
    <xf numFmtId="0" fontId="10" fillId="16" borderId="8" xfId="0" applyFont="1" applyFill="1" applyBorder="1"/>
    <xf numFmtId="0" fontId="27" fillId="3" borderId="19" xfId="0" applyFont="1" applyFill="1" applyBorder="1" applyAlignment="1">
      <alignment horizontal="center" vertical="center"/>
    </xf>
    <xf numFmtId="0" fontId="26" fillId="2" borderId="19" xfId="0" applyFont="1" applyFill="1" applyBorder="1" applyAlignment="1">
      <alignment horizontal="center" vertical="center"/>
    </xf>
    <xf numFmtId="0" fontId="0" fillId="17" borderId="28" xfId="0" applyFill="1" applyBorder="1"/>
    <xf numFmtId="0" fontId="0" fillId="17" borderId="34" xfId="0" applyFill="1" applyBorder="1"/>
    <xf numFmtId="0" fontId="0" fillId="17" borderId="29" xfId="0" applyFill="1" applyBorder="1"/>
    <xf numFmtId="0" fontId="0" fillId="17" borderId="30" xfId="0" applyFill="1" applyBorder="1"/>
    <xf numFmtId="0" fontId="10" fillId="17" borderId="30" xfId="0" applyFont="1" applyFill="1" applyBorder="1"/>
    <xf numFmtId="0" fontId="0" fillId="17" borderId="31" xfId="0" applyFill="1" applyBorder="1"/>
    <xf numFmtId="0" fontId="10" fillId="17" borderId="31" xfId="0" applyFont="1" applyFill="1" applyBorder="1"/>
    <xf numFmtId="0" fontId="10" fillId="4" borderId="41" xfId="0" applyFont="1" applyFill="1" applyBorder="1" applyAlignment="1">
      <alignment horizontal="center" vertical="center"/>
    </xf>
    <xf numFmtId="43" fontId="10" fillId="4" borderId="41" xfId="1" applyFont="1" applyFill="1" applyBorder="1" applyAlignment="1">
      <alignment horizontal="center" vertical="center"/>
    </xf>
    <xf numFmtId="0" fontId="14" fillId="11" borderId="27" xfId="0" applyFont="1" applyFill="1" applyBorder="1" applyAlignment="1">
      <alignment horizontal="center" vertical="center" wrapText="1"/>
    </xf>
    <xf numFmtId="0" fontId="5" fillId="11" borderId="26" xfId="0" applyFont="1" applyFill="1" applyBorder="1" applyAlignment="1">
      <alignment horizontal="center" vertical="center"/>
    </xf>
    <xf numFmtId="0" fontId="5" fillId="11" borderId="26" xfId="0" applyFont="1" applyFill="1" applyBorder="1" applyAlignment="1">
      <alignment horizontal="center" vertical="center" wrapText="1"/>
    </xf>
    <xf numFmtId="43" fontId="5" fillId="11" borderId="26" xfId="1" applyFont="1" applyFill="1" applyBorder="1" applyAlignment="1">
      <alignment horizontal="center" vertical="center"/>
    </xf>
    <xf numFmtId="0" fontId="10" fillId="4" borderId="13" xfId="0" applyFont="1" applyFill="1" applyBorder="1"/>
    <xf numFmtId="0" fontId="10" fillId="6" borderId="13" xfId="0" applyFont="1" applyFill="1" applyBorder="1"/>
    <xf numFmtId="164" fontId="10" fillId="4" borderId="13" xfId="0" applyNumberFormat="1" applyFont="1" applyFill="1" applyBorder="1"/>
    <xf numFmtId="164" fontId="10" fillId="6" borderId="13" xfId="1" applyNumberFormat="1" applyFont="1" applyFill="1" applyBorder="1"/>
    <xf numFmtId="165" fontId="10" fillId="6" borderId="13" xfId="1" applyNumberFormat="1" applyFont="1" applyFill="1" applyBorder="1"/>
    <xf numFmtId="0" fontId="10" fillId="2" borderId="14" xfId="0" applyFont="1" applyFill="1" applyBorder="1" applyAlignment="1">
      <alignment vertical="center"/>
    </xf>
    <xf numFmtId="43" fontId="10" fillId="2" borderId="15" xfId="1" applyFont="1" applyFill="1" applyBorder="1"/>
    <xf numFmtId="0" fontId="0" fillId="11" borderId="35" xfId="0" applyFill="1" applyBorder="1" applyAlignment="1">
      <alignment horizontal="center" vertical="center"/>
    </xf>
    <xf numFmtId="0" fontId="28" fillId="16" borderId="42" xfId="0" applyFont="1" applyFill="1" applyBorder="1" applyAlignment="1">
      <alignment horizontal="center" vertical="center"/>
    </xf>
    <xf numFmtId="0" fontId="10" fillId="6" borderId="22" xfId="0" applyFont="1" applyFill="1" applyBorder="1" applyAlignment="1">
      <alignment horizontal="center" vertical="center"/>
    </xf>
    <xf numFmtId="0" fontId="10" fillId="15" borderId="22" xfId="0" applyFont="1" applyFill="1" applyBorder="1" applyAlignment="1">
      <alignment horizontal="center" vertical="center"/>
    </xf>
    <xf numFmtId="0" fontId="10" fillId="9" borderId="22" xfId="0" applyFont="1" applyFill="1" applyBorder="1" applyAlignment="1">
      <alignment horizontal="center" vertical="center"/>
    </xf>
    <xf numFmtId="167" fontId="10" fillId="6" borderId="3" xfId="1" applyNumberFormat="1" applyFont="1" applyFill="1" applyBorder="1" applyAlignment="1">
      <alignment horizontal="center" vertical="center"/>
    </xf>
    <xf numFmtId="0" fontId="0" fillId="11" borderId="4" xfId="0" applyFill="1" applyBorder="1"/>
    <xf numFmtId="0" fontId="3" fillId="11" borderId="5" xfId="0" applyFont="1" applyFill="1" applyBorder="1"/>
    <xf numFmtId="0" fontId="0" fillId="11" borderId="5" xfId="0" applyFill="1" applyBorder="1"/>
    <xf numFmtId="0" fontId="0" fillId="11" borderId="6" xfId="0" applyFill="1" applyBorder="1"/>
    <xf numFmtId="0" fontId="0" fillId="11" borderId="7" xfId="0" applyFill="1" applyBorder="1"/>
    <xf numFmtId="0" fontId="0" fillId="11" borderId="8" xfId="0" applyFill="1" applyBorder="1"/>
    <xf numFmtId="0" fontId="6" fillId="11" borderId="43" xfId="0" applyFont="1" applyFill="1" applyBorder="1" applyAlignment="1">
      <alignment horizontal="center" vertical="center"/>
    </xf>
    <xf numFmtId="43" fontId="6" fillId="11" borderId="43" xfId="1" applyFont="1" applyFill="1" applyBorder="1" applyAlignment="1">
      <alignment horizontal="center" vertical="center"/>
    </xf>
    <xf numFmtId="43" fontId="5" fillId="11" borderId="43" xfId="1" applyFont="1" applyFill="1" applyBorder="1" applyAlignment="1">
      <alignment horizontal="center" vertical="center"/>
    </xf>
    <xf numFmtId="0" fontId="10" fillId="11" borderId="7" xfId="0" applyFont="1" applyFill="1" applyBorder="1"/>
    <xf numFmtId="0" fontId="10" fillId="11" borderId="8" xfId="0" applyFont="1" applyFill="1" applyBorder="1"/>
    <xf numFmtId="0" fontId="0" fillId="11" borderId="9" xfId="0" applyFill="1" applyBorder="1"/>
    <xf numFmtId="0" fontId="0" fillId="11" borderId="10" xfId="0" applyFill="1" applyBorder="1"/>
    <xf numFmtId="0" fontId="0" fillId="11" borderId="11" xfId="0" applyFill="1" applyBorder="1"/>
    <xf numFmtId="0" fontId="11" fillId="2" borderId="16" xfId="0" applyFont="1" applyFill="1" applyBorder="1" applyAlignment="1">
      <alignment horizontal="center" vertical="center"/>
    </xf>
    <xf numFmtId="0" fontId="11" fillId="2" borderId="17" xfId="0" applyFont="1" applyFill="1" applyBorder="1" applyAlignment="1">
      <alignment horizontal="center" vertical="center"/>
    </xf>
    <xf numFmtId="0" fontId="11" fillId="2" borderId="17" xfId="0" applyFont="1" applyFill="1" applyBorder="1" applyAlignment="1">
      <alignment horizontal="center" vertical="center" wrapText="1"/>
    </xf>
    <xf numFmtId="0" fontId="11" fillId="2" borderId="18" xfId="0" applyFont="1" applyFill="1" applyBorder="1" applyAlignment="1">
      <alignment horizontal="center" vertical="center"/>
    </xf>
    <xf numFmtId="0" fontId="10" fillId="6" borderId="12" xfId="0" applyFont="1" applyFill="1" applyBorder="1" applyAlignment="1">
      <alignment horizontal="center" vertical="center" wrapText="1"/>
    </xf>
    <xf numFmtId="10" fontId="10" fillId="6" borderId="13" xfId="2" applyNumberFormat="1" applyFont="1" applyFill="1" applyBorder="1" applyAlignment="1">
      <alignment horizontal="center" vertical="center"/>
    </xf>
    <xf numFmtId="0" fontId="10" fillId="0" borderId="12" xfId="0" applyFont="1" applyBorder="1" applyAlignment="1">
      <alignment horizontal="center" vertical="center" wrapText="1"/>
    </xf>
    <xf numFmtId="10" fontId="10" fillId="0" borderId="13" xfId="2" applyNumberFormat="1" applyFont="1" applyBorder="1" applyAlignment="1">
      <alignment horizontal="center" vertical="center"/>
    </xf>
    <xf numFmtId="0" fontId="11" fillId="3" borderId="16" xfId="0" applyFont="1" applyFill="1" applyBorder="1" applyAlignment="1">
      <alignment horizontal="center" vertical="center"/>
    </xf>
    <xf numFmtId="0" fontId="11" fillId="3" borderId="17" xfId="0" applyFont="1" applyFill="1" applyBorder="1" applyAlignment="1">
      <alignment horizontal="center" vertical="center"/>
    </xf>
    <xf numFmtId="0" fontId="11" fillId="3" borderId="17" xfId="0" applyFont="1" applyFill="1" applyBorder="1" applyAlignment="1">
      <alignment horizontal="center" vertical="center" wrapText="1"/>
    </xf>
    <xf numFmtId="0" fontId="11" fillId="3" borderId="18" xfId="0" applyFont="1" applyFill="1" applyBorder="1" applyAlignment="1">
      <alignment horizontal="center" vertical="center" wrapText="1"/>
    </xf>
    <xf numFmtId="0" fontId="26" fillId="2" borderId="19"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4" xfId="0" applyFont="1" applyFill="1" applyBorder="1" applyAlignment="1">
      <alignment horizontal="center" vertical="center" wrapText="1"/>
    </xf>
    <xf numFmtId="43" fontId="10" fillId="12" borderId="2" xfId="1" applyFont="1" applyFill="1" applyBorder="1" applyAlignment="1">
      <alignment vertical="center"/>
    </xf>
    <xf numFmtId="43" fontId="10" fillId="12" borderId="13" xfId="1" applyFont="1" applyFill="1" applyBorder="1" applyAlignment="1">
      <alignment vertical="center"/>
    </xf>
    <xf numFmtId="170" fontId="10" fillId="12" borderId="3" xfId="1" applyNumberFormat="1" applyFont="1" applyFill="1" applyBorder="1" applyAlignment="1">
      <alignment horizontal="center" vertical="center"/>
    </xf>
    <xf numFmtId="3" fontId="10" fillId="12" borderId="1" xfId="0" applyNumberFormat="1" applyFont="1" applyFill="1" applyBorder="1" applyAlignment="1">
      <alignment horizontal="center" vertical="center"/>
    </xf>
    <xf numFmtId="0" fontId="10" fillId="12" borderId="1" xfId="0" applyFont="1" applyFill="1" applyBorder="1" applyAlignment="1">
      <alignment horizontal="center" vertical="center"/>
    </xf>
    <xf numFmtId="3" fontId="10" fillId="12" borderId="1" xfId="1" applyNumberFormat="1" applyFont="1" applyFill="1" applyBorder="1" applyAlignment="1">
      <alignment horizontal="center" vertical="center"/>
    </xf>
    <xf numFmtId="43" fontId="10" fillId="12" borderId="1" xfId="1" applyFont="1" applyFill="1" applyBorder="1" applyAlignment="1">
      <alignment horizontal="center" vertical="center"/>
    </xf>
    <xf numFmtId="2" fontId="10" fillId="12" borderId="13" xfId="1" applyNumberFormat="1" applyFont="1" applyFill="1" applyBorder="1" applyAlignment="1">
      <alignment horizontal="center" vertical="center"/>
    </xf>
    <xf numFmtId="43" fontId="10" fillId="12" borderId="41" xfId="1" applyFont="1" applyFill="1" applyBorder="1" applyAlignment="1">
      <alignment horizontal="center" vertical="center"/>
    </xf>
    <xf numFmtId="2" fontId="10" fillId="12" borderId="15" xfId="1" applyNumberFormat="1" applyFont="1" applyFill="1" applyBorder="1" applyAlignment="1">
      <alignment horizontal="center" vertical="center"/>
    </xf>
    <xf numFmtId="0" fontId="13" fillId="12" borderId="1" xfId="0" applyFont="1" applyFill="1" applyBorder="1" applyAlignment="1">
      <alignment horizontal="left" vertical="center" wrapText="1"/>
    </xf>
    <xf numFmtId="2" fontId="10" fillId="12" borderId="2" xfId="0" applyNumberFormat="1" applyFont="1" applyFill="1" applyBorder="1" applyAlignment="1">
      <alignment horizontal="center" vertical="center"/>
    </xf>
    <xf numFmtId="170" fontId="10" fillId="12" borderId="3" xfId="0" applyNumberFormat="1" applyFont="1" applyFill="1" applyBorder="1" applyAlignment="1">
      <alignment horizontal="center" vertical="center"/>
    </xf>
    <xf numFmtId="0" fontId="34" fillId="7" borderId="4" xfId="0" applyFont="1" applyFill="1" applyBorder="1" applyAlignment="1">
      <alignment horizontal="left"/>
    </xf>
    <xf numFmtId="0" fontId="7" fillId="7" borderId="4" xfId="0" applyFont="1" applyFill="1" applyBorder="1" applyAlignment="1">
      <alignment horizontal="left" vertical="center"/>
    </xf>
    <xf numFmtId="0" fontId="11" fillId="18" borderId="14" xfId="0" applyFont="1" applyFill="1" applyBorder="1" applyAlignment="1">
      <alignment horizontal="center" vertical="center"/>
    </xf>
    <xf numFmtId="164" fontId="11" fillId="18" borderId="41" xfId="0" applyNumberFormat="1" applyFont="1" applyFill="1" applyBorder="1" applyAlignment="1">
      <alignment horizontal="center" vertical="center"/>
    </xf>
    <xf numFmtId="0" fontId="11" fillId="18" borderId="41" xfId="0" applyFont="1" applyFill="1" applyBorder="1" applyAlignment="1">
      <alignment horizontal="center" vertical="center"/>
    </xf>
    <xf numFmtId="0" fontId="11" fillId="18" borderId="15" xfId="0" applyFont="1" applyFill="1" applyBorder="1" applyAlignment="1">
      <alignment horizontal="center" vertical="center"/>
    </xf>
    <xf numFmtId="0" fontId="0" fillId="4" borderId="1" xfId="0" applyFill="1" applyBorder="1" applyAlignment="1">
      <alignment horizontal="center" vertical="center"/>
    </xf>
    <xf numFmtId="0" fontId="0" fillId="11" borderId="1" xfId="0" applyFill="1" applyBorder="1" applyAlignment="1">
      <alignment horizontal="center" vertical="center"/>
    </xf>
    <xf numFmtId="0" fontId="0" fillId="0" borderId="0" xfId="0" pivotButton="1"/>
    <xf numFmtId="0" fontId="0" fillId="0" borderId="0" xfId="0" applyAlignment="1">
      <alignment horizontal="left"/>
    </xf>
    <xf numFmtId="14" fontId="0" fillId="0" borderId="0" xfId="0" applyNumberFormat="1" applyAlignment="1">
      <alignment horizontal="left"/>
    </xf>
    <xf numFmtId="0" fontId="10" fillId="4" borderId="1" xfId="0" applyFont="1" applyFill="1" applyBorder="1" applyAlignment="1">
      <alignment horizontal="center" vertical="center" wrapText="1"/>
    </xf>
    <xf numFmtId="0" fontId="0" fillId="11" borderId="7" xfId="0" applyFill="1" applyBorder="1" applyAlignment="1">
      <alignment horizontal="center" vertical="center"/>
    </xf>
    <xf numFmtId="0" fontId="0" fillId="11" borderId="8" xfId="0" applyFill="1" applyBorder="1" applyAlignment="1">
      <alignment horizontal="center" vertical="center"/>
    </xf>
    <xf numFmtId="0" fontId="0" fillId="4" borderId="7" xfId="0" applyFill="1" applyBorder="1" applyAlignment="1">
      <alignment horizontal="center" vertical="center"/>
    </xf>
    <xf numFmtId="0" fontId="0" fillId="4" borderId="8" xfId="0" applyFill="1" applyBorder="1" applyAlignment="1">
      <alignment horizontal="center" vertical="center"/>
    </xf>
    <xf numFmtId="0" fontId="0" fillId="4" borderId="9" xfId="0" applyFill="1" applyBorder="1" applyAlignment="1">
      <alignment horizontal="center" vertical="center"/>
    </xf>
    <xf numFmtId="0" fontId="0" fillId="4" borderId="10" xfId="0" applyFill="1" applyBorder="1" applyAlignment="1">
      <alignment horizontal="center" vertical="center"/>
    </xf>
    <xf numFmtId="0" fontId="0" fillId="4" borderId="11" xfId="0" applyFill="1" applyBorder="1" applyAlignment="1">
      <alignment horizontal="center" vertical="center"/>
    </xf>
    <xf numFmtId="0" fontId="28" fillId="16" borderId="20" xfId="0" applyFont="1" applyFill="1" applyBorder="1" applyAlignment="1">
      <alignment horizontal="center" vertical="center"/>
    </xf>
    <xf numFmtId="0" fontId="28" fillId="16" borderId="44" xfId="0" applyFont="1" applyFill="1" applyBorder="1" applyAlignment="1">
      <alignment horizontal="center" vertical="center"/>
    </xf>
    <xf numFmtId="0" fontId="28" fillId="16" borderId="7" xfId="0" applyFont="1" applyFill="1" applyBorder="1" applyAlignment="1">
      <alignment horizontal="center" vertical="center"/>
    </xf>
    <xf numFmtId="0" fontId="28" fillId="16" borderId="0" xfId="0" applyFont="1" applyFill="1" applyAlignment="1">
      <alignment horizontal="center" vertical="center"/>
    </xf>
    <xf numFmtId="43" fontId="0" fillId="6" borderId="8" xfId="1" applyFont="1" applyFill="1" applyBorder="1" applyAlignment="1">
      <alignment horizontal="left"/>
    </xf>
    <xf numFmtId="43" fontId="0" fillId="4" borderId="11" xfId="1" applyFont="1" applyFill="1" applyBorder="1" applyAlignment="1">
      <alignment horizontal="left"/>
    </xf>
    <xf numFmtId="167" fontId="10" fillId="15" borderId="12" xfId="1" applyNumberFormat="1" applyFont="1" applyFill="1" applyBorder="1" applyAlignment="1">
      <alignment horizontal="center" vertical="center"/>
    </xf>
    <xf numFmtId="43" fontId="10" fillId="15" borderId="1" xfId="1" applyFont="1" applyFill="1" applyBorder="1" applyAlignment="1">
      <alignment horizontal="center" vertical="center"/>
    </xf>
    <xf numFmtId="2" fontId="10" fillId="15" borderId="2" xfId="1" applyNumberFormat="1" applyFont="1" applyFill="1" applyBorder="1" applyAlignment="1">
      <alignment horizontal="center" vertical="center"/>
    </xf>
    <xf numFmtId="43" fontId="10" fillId="15" borderId="13" xfId="1" applyFont="1" applyFill="1" applyBorder="1" applyAlignment="1">
      <alignment horizontal="center" vertical="center"/>
    </xf>
    <xf numFmtId="167" fontId="10" fillId="15" borderId="3" xfId="1" applyNumberFormat="1" applyFont="1" applyFill="1" applyBorder="1" applyAlignment="1">
      <alignment horizontal="center" vertical="center"/>
    </xf>
    <xf numFmtId="2" fontId="10" fillId="15" borderId="1" xfId="0" applyNumberFormat="1" applyFont="1" applyFill="1" applyBorder="1" applyAlignment="1">
      <alignment horizontal="center" vertical="center"/>
    </xf>
    <xf numFmtId="167" fontId="10" fillId="15" borderId="1" xfId="1" applyNumberFormat="1" applyFont="1" applyFill="1" applyBorder="1" applyAlignment="1">
      <alignment horizontal="center" vertical="center"/>
    </xf>
    <xf numFmtId="164" fontId="10" fillId="15" borderId="1" xfId="0" applyNumberFormat="1" applyFont="1" applyFill="1" applyBorder="1" applyAlignment="1">
      <alignment horizontal="center" vertical="center"/>
    </xf>
    <xf numFmtId="167" fontId="10" fillId="9" borderId="12" xfId="1" applyNumberFormat="1" applyFont="1" applyFill="1" applyBorder="1" applyAlignment="1">
      <alignment horizontal="center" vertical="center"/>
    </xf>
    <xf numFmtId="43" fontId="10" fillId="9" borderId="1" xfId="1" applyFont="1" applyFill="1" applyBorder="1" applyAlignment="1">
      <alignment horizontal="center" vertical="center"/>
    </xf>
    <xf numFmtId="43" fontId="10" fillId="9" borderId="2" xfId="1" applyFont="1" applyFill="1" applyBorder="1" applyAlignment="1">
      <alignment horizontal="center" vertical="center"/>
    </xf>
    <xf numFmtId="43" fontId="10" fillId="9" borderId="13" xfId="1" applyFont="1" applyFill="1" applyBorder="1" applyAlignment="1">
      <alignment horizontal="center" vertical="center"/>
    </xf>
    <xf numFmtId="167" fontId="10" fillId="9" borderId="3" xfId="1" applyNumberFormat="1" applyFont="1" applyFill="1" applyBorder="1" applyAlignment="1">
      <alignment horizontal="center" vertical="center"/>
    </xf>
    <xf numFmtId="2" fontId="10" fillId="9" borderId="1" xfId="0" applyNumberFormat="1" applyFont="1" applyFill="1" applyBorder="1" applyAlignment="1">
      <alignment horizontal="center" vertical="center"/>
    </xf>
    <xf numFmtId="167" fontId="10" fillId="9" borderId="1" xfId="1" applyNumberFormat="1" applyFont="1" applyFill="1" applyBorder="1" applyAlignment="1">
      <alignment horizontal="center" vertical="center"/>
    </xf>
    <xf numFmtId="164" fontId="10" fillId="9" borderId="1" xfId="0" applyNumberFormat="1" applyFont="1" applyFill="1" applyBorder="1" applyAlignment="1">
      <alignment horizontal="center" vertical="center"/>
    </xf>
    <xf numFmtId="43" fontId="10" fillId="15" borderId="2" xfId="1" applyFont="1" applyFill="1" applyBorder="1" applyAlignment="1">
      <alignment horizontal="center" vertical="center"/>
    </xf>
    <xf numFmtId="0" fontId="10" fillId="15" borderId="12" xfId="0" applyFont="1" applyFill="1" applyBorder="1" applyAlignment="1">
      <alignment horizontal="center" vertical="center"/>
    </xf>
    <xf numFmtId="0" fontId="10" fillId="9" borderId="12" xfId="0" applyFont="1" applyFill="1" applyBorder="1" applyAlignment="1">
      <alignment horizontal="center" vertical="center"/>
    </xf>
    <xf numFmtId="0" fontId="10" fillId="9" borderId="1" xfId="0" applyFont="1" applyFill="1" applyBorder="1" applyAlignment="1">
      <alignment horizontal="center" vertical="center" wrapText="1"/>
    </xf>
    <xf numFmtId="0" fontId="10" fillId="15" borderId="24" xfId="0" applyFont="1" applyFill="1" applyBorder="1" applyAlignment="1">
      <alignment horizontal="center" vertical="center"/>
    </xf>
    <xf numFmtId="0" fontId="0" fillId="17" borderId="4" xfId="0" applyFill="1" applyBorder="1" applyAlignment="1">
      <alignment horizontal="center" vertical="center"/>
    </xf>
    <xf numFmtId="0" fontId="0" fillId="6" borderId="7" xfId="0" applyFill="1" applyBorder="1" applyAlignment="1">
      <alignment horizontal="center" vertical="center"/>
    </xf>
    <xf numFmtId="166" fontId="35" fillId="4" borderId="8" xfId="0" applyNumberFormat="1" applyFont="1" applyFill="1" applyBorder="1" applyAlignment="1">
      <alignment horizontal="center" vertical="center"/>
    </xf>
    <xf numFmtId="166" fontId="35" fillId="6" borderId="8" xfId="0" applyNumberFormat="1" applyFont="1" applyFill="1" applyBorder="1" applyAlignment="1">
      <alignment horizontal="center" vertical="center"/>
    </xf>
    <xf numFmtId="0" fontId="0" fillId="11" borderId="34" xfId="0" applyFill="1" applyBorder="1" applyAlignment="1">
      <alignment horizontal="center" vertical="center"/>
    </xf>
    <xf numFmtId="0" fontId="2" fillId="11" borderId="34" xfId="0" applyFont="1" applyFill="1" applyBorder="1" applyAlignment="1">
      <alignment horizontal="center" vertical="center"/>
    </xf>
    <xf numFmtId="0" fontId="0" fillId="11" borderId="29" xfId="0" applyFill="1" applyBorder="1" applyAlignment="1">
      <alignment horizontal="center" vertical="center"/>
    </xf>
    <xf numFmtId="0" fontId="2" fillId="11" borderId="31" xfId="0" applyFont="1" applyFill="1" applyBorder="1" applyAlignment="1">
      <alignment horizontal="center" vertical="center"/>
    </xf>
    <xf numFmtId="0" fontId="0" fillId="6" borderId="8" xfId="0" applyFill="1" applyBorder="1" applyAlignment="1">
      <alignment horizontal="center" vertical="center"/>
    </xf>
    <xf numFmtId="0" fontId="2" fillId="11" borderId="32" xfId="0" applyFont="1" applyFill="1" applyBorder="1" applyAlignment="1">
      <alignment horizontal="center" vertical="center"/>
    </xf>
    <xf numFmtId="0" fontId="0" fillId="11" borderId="33" xfId="0" applyFill="1" applyBorder="1" applyAlignment="1">
      <alignment horizontal="center" vertical="center"/>
    </xf>
    <xf numFmtId="44" fontId="10" fillId="15" borderId="1" xfId="0" applyNumberFormat="1" applyFont="1" applyFill="1" applyBorder="1" applyAlignment="1">
      <alignment horizontal="center" vertical="center"/>
    </xf>
    <xf numFmtId="0" fontId="28" fillId="16" borderId="4" xfId="0" applyFont="1" applyFill="1" applyBorder="1" applyAlignment="1">
      <alignment horizontal="center" vertical="center"/>
    </xf>
    <xf numFmtId="0" fontId="36" fillId="16" borderId="6" xfId="0" applyFont="1" applyFill="1" applyBorder="1" applyAlignment="1">
      <alignment horizontal="center" vertical="center"/>
    </xf>
    <xf numFmtId="0" fontId="0" fillId="11" borderId="4" xfId="0" applyFill="1" applyBorder="1" applyAlignment="1">
      <alignment horizontal="left" vertical="center"/>
    </xf>
    <xf numFmtId="172" fontId="0" fillId="11" borderId="6" xfId="0" applyNumberFormat="1" applyFill="1" applyBorder="1" applyAlignment="1">
      <alignment horizontal="center" vertical="center"/>
    </xf>
    <xf numFmtId="172" fontId="0" fillId="4" borderId="8" xfId="0" applyNumberFormat="1" applyFill="1" applyBorder="1" applyAlignment="1">
      <alignment horizontal="center" vertical="center"/>
    </xf>
    <xf numFmtId="172" fontId="0" fillId="11" borderId="8" xfId="0" applyNumberFormat="1" applyFill="1" applyBorder="1" applyAlignment="1">
      <alignment horizontal="center" vertical="center"/>
    </xf>
    <xf numFmtId="44" fontId="10" fillId="6" borderId="1" xfId="0" applyNumberFormat="1" applyFont="1" applyFill="1" applyBorder="1" applyAlignment="1">
      <alignment horizontal="center" vertical="center"/>
    </xf>
    <xf numFmtId="171" fontId="10" fillId="12" borderId="1" xfId="0" applyNumberFormat="1" applyFont="1" applyFill="1" applyBorder="1" applyAlignment="1">
      <alignment horizontal="center" vertical="center"/>
    </xf>
    <xf numFmtId="173" fontId="10" fillId="15" borderId="1" xfId="0" applyNumberFormat="1" applyFont="1" applyFill="1" applyBorder="1" applyAlignment="1">
      <alignment horizontal="center" vertical="center"/>
    </xf>
    <xf numFmtId="173" fontId="10" fillId="9" borderId="1" xfId="0" applyNumberFormat="1" applyFont="1" applyFill="1" applyBorder="1" applyAlignment="1">
      <alignment horizontal="center" vertical="center"/>
    </xf>
    <xf numFmtId="0" fontId="0" fillId="6" borderId="1" xfId="0" applyFill="1" applyBorder="1" applyAlignment="1">
      <alignment horizontal="center" vertical="center"/>
    </xf>
    <xf numFmtId="0" fontId="37" fillId="17" borderId="6" xfId="0" applyFont="1" applyFill="1" applyBorder="1" applyAlignment="1">
      <alignment horizontal="center" vertical="center" wrapText="1"/>
    </xf>
    <xf numFmtId="0" fontId="0" fillId="5" borderId="21" xfId="0" applyFill="1" applyBorder="1" applyAlignment="1">
      <alignment horizontal="right"/>
    </xf>
    <xf numFmtId="167" fontId="0" fillId="6" borderId="5" xfId="1" applyNumberFormat="1" applyFont="1" applyFill="1" applyBorder="1" applyAlignment="1">
      <alignment horizontal="left" vertical="center"/>
    </xf>
    <xf numFmtId="167" fontId="0" fillId="4" borderId="0" xfId="1" applyNumberFormat="1" applyFont="1" applyFill="1" applyBorder="1" applyAlignment="1">
      <alignment horizontal="left" vertical="center"/>
    </xf>
    <xf numFmtId="167" fontId="0" fillId="6" borderId="0" xfId="1" applyNumberFormat="1" applyFont="1" applyFill="1" applyBorder="1" applyAlignment="1">
      <alignment horizontal="left" vertical="center"/>
    </xf>
    <xf numFmtId="167" fontId="0" fillId="19" borderId="10" xfId="1" applyNumberFormat="1" applyFont="1" applyFill="1" applyBorder="1" applyAlignment="1">
      <alignment horizontal="left" vertical="center"/>
    </xf>
    <xf numFmtId="167" fontId="1" fillId="19" borderId="11" xfId="1" applyNumberFormat="1" applyFont="1" applyFill="1" applyBorder="1" applyAlignment="1">
      <alignment horizontal="left" vertical="center"/>
    </xf>
    <xf numFmtId="167" fontId="0" fillId="20" borderId="0" xfId="1" applyNumberFormat="1" applyFont="1" applyFill="1" applyBorder="1" applyAlignment="1">
      <alignment horizontal="left" vertical="center"/>
    </xf>
    <xf numFmtId="167" fontId="1" fillId="20" borderId="8" xfId="1" applyNumberFormat="1" applyFont="1" applyFill="1" applyBorder="1" applyAlignment="1">
      <alignment horizontal="left" vertical="center"/>
    </xf>
    <xf numFmtId="0" fontId="13" fillId="4" borderId="7" xfId="0" applyFont="1" applyFill="1" applyBorder="1" applyAlignment="1">
      <alignment horizontal="left" vertical="center"/>
    </xf>
    <xf numFmtId="0" fontId="13" fillId="6" borderId="4" xfId="0" applyFont="1" applyFill="1" applyBorder="1" applyAlignment="1">
      <alignment horizontal="left" vertical="center"/>
    </xf>
    <xf numFmtId="0" fontId="13" fillId="6" borderId="7" xfId="0" applyFont="1" applyFill="1" applyBorder="1" applyAlignment="1">
      <alignment horizontal="left" vertical="center"/>
    </xf>
    <xf numFmtId="0" fontId="13" fillId="20" borderId="7" xfId="0" applyFont="1" applyFill="1" applyBorder="1" applyAlignment="1">
      <alignment horizontal="left" vertical="center"/>
    </xf>
    <xf numFmtId="0" fontId="13" fillId="19" borderId="9" xfId="0" applyFont="1" applyFill="1" applyBorder="1" applyAlignment="1">
      <alignment horizontal="left" vertical="center"/>
    </xf>
    <xf numFmtId="0" fontId="0" fillId="0" borderId="0" xfId="0" pivotButton="1" applyAlignment="1">
      <alignment horizontal="center" vertical="center"/>
    </xf>
    <xf numFmtId="0" fontId="0" fillId="0" borderId="0" xfId="0" pivotButton="1" applyAlignment="1">
      <alignment horizontal="center" vertical="center" wrapText="1"/>
    </xf>
    <xf numFmtId="0" fontId="27" fillId="4" borderId="7" xfId="0" applyFont="1" applyFill="1" applyBorder="1" applyAlignment="1">
      <alignment horizontal="center" vertical="center"/>
    </xf>
    <xf numFmtId="0" fontId="0" fillId="6" borderId="0" xfId="0" applyFill="1"/>
    <xf numFmtId="0" fontId="12" fillId="6" borderId="0" xfId="0" applyFont="1" applyFill="1"/>
    <xf numFmtId="0" fontId="11" fillId="6" borderId="0" xfId="0" applyFont="1" applyFill="1"/>
    <xf numFmtId="0" fontId="10" fillId="6" borderId="0" xfId="0" applyFont="1" applyFill="1"/>
    <xf numFmtId="0" fontId="10" fillId="6" borderId="0" xfId="0" applyFont="1" applyFill="1" applyAlignment="1">
      <alignment horizontal="center" vertical="center"/>
    </xf>
    <xf numFmtId="0" fontId="0" fillId="6" borderId="0" xfId="0" applyFill="1" applyAlignment="1">
      <alignment vertical="top" wrapText="1"/>
    </xf>
    <xf numFmtId="168" fontId="10" fillId="6" borderId="0" xfId="0" applyNumberFormat="1" applyFont="1" applyFill="1" applyAlignment="1">
      <alignment horizontal="center" vertical="center"/>
    </xf>
    <xf numFmtId="169" fontId="10" fillId="6" borderId="0" xfId="0" applyNumberFormat="1" applyFont="1" applyFill="1" applyAlignment="1">
      <alignment horizontal="center" vertical="center"/>
    </xf>
    <xf numFmtId="164" fontId="10" fillId="6" borderId="0" xfId="0" applyNumberFormat="1" applyFont="1" applyFill="1" applyAlignment="1">
      <alignment horizontal="center" vertical="center"/>
    </xf>
    <xf numFmtId="0" fontId="22" fillId="6" borderId="0" xfId="0" applyFont="1" applyFill="1" applyAlignment="1">
      <alignment horizontal="center" vertical="center" wrapText="1"/>
    </xf>
    <xf numFmtId="0" fontId="20" fillId="6" borderId="0" xfId="0" applyFont="1" applyFill="1"/>
    <xf numFmtId="0" fontId="2" fillId="6" borderId="0" xfId="0" applyFont="1" applyFill="1"/>
    <xf numFmtId="0" fontId="0" fillId="12" borderId="4" xfId="0" applyFill="1" applyBorder="1"/>
    <xf numFmtId="0" fontId="0" fillId="12" borderId="5" xfId="0" applyFill="1" applyBorder="1"/>
    <xf numFmtId="0" fontId="0" fillId="12" borderId="6" xfId="0" applyFill="1" applyBorder="1"/>
    <xf numFmtId="0" fontId="0" fillId="12" borderId="7" xfId="0" applyFill="1" applyBorder="1"/>
    <xf numFmtId="0" fontId="0" fillId="12" borderId="8" xfId="0" applyFill="1" applyBorder="1"/>
    <xf numFmtId="0" fontId="10" fillId="12" borderId="7" xfId="0" applyFont="1" applyFill="1" applyBorder="1"/>
    <xf numFmtId="0" fontId="10" fillId="12" borderId="8" xfId="0" applyFont="1" applyFill="1" applyBorder="1"/>
    <xf numFmtId="0" fontId="0" fillId="12" borderId="9" xfId="0" applyFill="1" applyBorder="1"/>
    <xf numFmtId="0" fontId="0" fillId="12" borderId="10" xfId="0" applyFill="1" applyBorder="1"/>
    <xf numFmtId="0" fontId="0" fillId="12" borderId="11" xfId="0" applyFill="1" applyBorder="1"/>
    <xf numFmtId="0" fontId="2" fillId="6" borderId="0" xfId="0" applyFont="1" applyFill="1" applyAlignment="1">
      <alignment horizontal="right"/>
    </xf>
    <xf numFmtId="0" fontId="2" fillId="6" borderId="0" xfId="0" applyFont="1" applyFill="1" applyAlignment="1">
      <alignment horizontal="right" vertical="center"/>
    </xf>
    <xf numFmtId="0" fontId="0" fillId="17" borderId="0" xfId="0" applyFill="1"/>
    <xf numFmtId="0" fontId="0" fillId="11" borderId="0" xfId="0" applyFill="1"/>
    <xf numFmtId="0" fontId="3" fillId="11" borderId="0" xfId="0" applyFont="1" applyFill="1"/>
    <xf numFmtId="0" fontId="13" fillId="11" borderId="0" xfId="0" applyFont="1" applyFill="1" applyAlignment="1">
      <alignment wrapText="1"/>
    </xf>
    <xf numFmtId="0" fontId="2" fillId="11" borderId="0" xfId="0" applyFont="1" applyFill="1"/>
    <xf numFmtId="0" fontId="0" fillId="11" borderId="0" xfId="0" applyFill="1" applyAlignment="1">
      <alignment horizontal="center"/>
    </xf>
    <xf numFmtId="0" fontId="0" fillId="11" borderId="0" xfId="0" applyFill="1" applyAlignment="1">
      <alignment horizontal="left"/>
    </xf>
    <xf numFmtId="3" fontId="0" fillId="11" borderId="0" xfId="0" applyNumberFormat="1" applyFill="1"/>
    <xf numFmtId="0" fontId="0" fillId="11" borderId="0" xfId="0" applyFill="1" applyAlignment="1">
      <alignment vertical="top" wrapText="1"/>
    </xf>
    <xf numFmtId="0" fontId="4" fillId="11" borderId="0" xfId="0" applyFont="1" applyFill="1"/>
    <xf numFmtId="43" fontId="0" fillId="11" borderId="0" xfId="0" applyNumberFormat="1" applyFill="1"/>
    <xf numFmtId="0" fontId="10" fillId="11" borderId="0" xfId="0" applyFont="1" applyFill="1"/>
    <xf numFmtId="0" fontId="2" fillId="11" borderId="0" xfId="0" applyFont="1" applyFill="1" applyAlignment="1">
      <alignment horizontal="right" vertical="center"/>
    </xf>
    <xf numFmtId="0" fontId="13" fillId="6" borderId="9" xfId="0" applyFont="1" applyFill="1" applyBorder="1" applyAlignment="1">
      <alignment horizontal="left" vertical="center"/>
    </xf>
    <xf numFmtId="167" fontId="0" fillId="6" borderId="10" xfId="1" applyNumberFormat="1" applyFont="1" applyFill="1" applyBorder="1" applyAlignment="1">
      <alignment horizontal="left" vertical="center"/>
    </xf>
    <xf numFmtId="167" fontId="0" fillId="6" borderId="11" xfId="1" applyNumberFormat="1" applyFont="1" applyFill="1" applyBorder="1" applyAlignment="1">
      <alignment horizontal="left" vertical="center"/>
    </xf>
    <xf numFmtId="0" fontId="2" fillId="11" borderId="0" xfId="0" applyFont="1" applyFill="1" applyAlignment="1">
      <alignment horizontal="right"/>
    </xf>
    <xf numFmtId="167" fontId="10" fillId="6" borderId="14" xfId="1" applyNumberFormat="1" applyFont="1" applyFill="1" applyBorder="1" applyAlignment="1">
      <alignment vertical="center"/>
    </xf>
    <xf numFmtId="43" fontId="10" fillId="6" borderId="41" xfId="1" applyFont="1" applyFill="1" applyBorder="1" applyAlignment="1">
      <alignment vertical="center"/>
    </xf>
    <xf numFmtId="43" fontId="10" fillId="12" borderId="45" xfId="1" applyFont="1" applyFill="1" applyBorder="1" applyAlignment="1">
      <alignment vertical="center"/>
    </xf>
    <xf numFmtId="43" fontId="10" fillId="12" borderId="15" xfId="1" applyFont="1" applyFill="1" applyBorder="1" applyAlignment="1">
      <alignment vertical="center"/>
    </xf>
    <xf numFmtId="0" fontId="10" fillId="12" borderId="41" xfId="0" applyFont="1" applyFill="1" applyBorder="1" applyAlignment="1">
      <alignment horizontal="center" vertical="center"/>
    </xf>
    <xf numFmtId="3" fontId="10" fillId="12" borderId="41" xfId="1" applyNumberFormat="1" applyFont="1" applyFill="1" applyBorder="1" applyAlignment="1">
      <alignment horizontal="center" vertical="center"/>
    </xf>
    <xf numFmtId="0" fontId="11" fillId="3" borderId="39" xfId="0" applyFont="1" applyFill="1" applyBorder="1" applyAlignment="1">
      <alignment horizontal="center" vertical="center" wrapText="1"/>
    </xf>
    <xf numFmtId="0" fontId="10" fillId="12" borderId="2" xfId="1" applyNumberFormat="1" applyFont="1" applyFill="1" applyBorder="1" applyAlignment="1">
      <alignment horizontal="center" vertical="center"/>
    </xf>
    <xf numFmtId="0" fontId="10" fillId="12" borderId="45" xfId="1" applyNumberFormat="1" applyFont="1" applyFill="1" applyBorder="1" applyAlignment="1">
      <alignment horizontal="center" vertical="center"/>
    </xf>
    <xf numFmtId="0" fontId="11" fillId="3" borderId="16" xfId="0" applyFont="1" applyFill="1" applyBorder="1" applyAlignment="1">
      <alignment horizontal="center" vertical="center" wrapText="1"/>
    </xf>
    <xf numFmtId="167" fontId="10" fillId="4" borderId="12" xfId="1" applyNumberFormat="1" applyFont="1" applyFill="1" applyBorder="1" applyAlignment="1">
      <alignment horizontal="center" vertical="center"/>
    </xf>
    <xf numFmtId="167" fontId="10" fillId="4" borderId="14" xfId="1" applyNumberFormat="1" applyFont="1" applyFill="1" applyBorder="1" applyAlignment="1">
      <alignment horizontal="center" vertical="center"/>
    </xf>
    <xf numFmtId="0" fontId="0" fillId="4" borderId="0" xfId="0" applyFill="1" applyAlignment="1">
      <alignment horizontal="center" vertical="center"/>
    </xf>
    <xf numFmtId="0" fontId="0" fillId="4" borderId="4" xfId="0" applyFill="1" applyBorder="1" applyAlignment="1">
      <alignment horizontal="center" vertical="center"/>
    </xf>
    <xf numFmtId="0" fontId="0" fillId="4" borderId="5" xfId="0" applyFill="1" applyBorder="1" applyAlignment="1">
      <alignment horizontal="center" vertical="center"/>
    </xf>
    <xf numFmtId="0" fontId="0" fillId="4" borderId="6" xfId="0" applyFill="1" applyBorder="1" applyAlignment="1">
      <alignment horizontal="center" vertical="center"/>
    </xf>
    <xf numFmtId="0" fontId="0" fillId="11" borderId="9" xfId="0" applyFill="1" applyBorder="1" applyAlignment="1">
      <alignment horizontal="center" vertical="center"/>
    </xf>
    <xf numFmtId="0" fontId="0" fillId="11" borderId="10" xfId="0" applyFill="1" applyBorder="1" applyAlignment="1">
      <alignment horizontal="center" vertical="center"/>
    </xf>
    <xf numFmtId="10" fontId="0" fillId="4" borderId="8" xfId="0" applyNumberFormat="1" applyFill="1" applyBorder="1" applyAlignment="1">
      <alignment horizontal="center" vertical="center"/>
    </xf>
    <xf numFmtId="10" fontId="0" fillId="11" borderId="8" xfId="0" applyNumberFormat="1" applyFill="1" applyBorder="1" applyAlignment="1">
      <alignment horizontal="center" vertical="center"/>
    </xf>
    <xf numFmtId="166" fontId="0" fillId="11" borderId="8" xfId="0" applyNumberFormat="1" applyFill="1" applyBorder="1" applyAlignment="1">
      <alignment horizontal="center" vertical="center"/>
    </xf>
    <xf numFmtId="166" fontId="0" fillId="4" borderId="8" xfId="0" applyNumberFormat="1" applyFill="1" applyBorder="1" applyAlignment="1">
      <alignment horizontal="center" vertical="center"/>
    </xf>
    <xf numFmtId="172" fontId="0" fillId="11" borderId="11" xfId="0" applyNumberFormat="1" applyFill="1" applyBorder="1" applyAlignment="1">
      <alignment horizontal="center" vertical="center"/>
    </xf>
    <xf numFmtId="172" fontId="0" fillId="11" borderId="0" xfId="0" applyNumberFormat="1" applyFill="1" applyAlignment="1">
      <alignment horizontal="center" vertical="center"/>
    </xf>
    <xf numFmtId="10" fontId="0" fillId="4" borderId="6" xfId="0" applyNumberFormat="1" applyFill="1" applyBorder="1" applyAlignment="1">
      <alignment horizontal="center" vertical="center"/>
    </xf>
    <xf numFmtId="10" fontId="0" fillId="11" borderId="10" xfId="0" applyNumberFormat="1" applyFill="1" applyBorder="1" applyAlignment="1">
      <alignment horizontal="center" vertical="center"/>
    </xf>
    <xf numFmtId="166" fontId="0" fillId="11" borderId="11" xfId="0" applyNumberFormat="1" applyFill="1" applyBorder="1" applyAlignment="1">
      <alignment horizontal="center" vertical="center"/>
    </xf>
    <xf numFmtId="0" fontId="0" fillId="15" borderId="1" xfId="0" applyFill="1" applyBorder="1" applyAlignment="1">
      <alignment horizontal="left" vertical="center"/>
    </xf>
    <xf numFmtId="10" fontId="0" fillId="11" borderId="0" xfId="0" applyNumberFormat="1" applyFill="1" applyAlignment="1">
      <alignment horizontal="center" vertical="center"/>
    </xf>
    <xf numFmtId="0" fontId="29" fillId="16" borderId="0" xfId="0" applyFont="1" applyFill="1" applyAlignment="1">
      <alignment horizontal="center" vertical="center"/>
    </xf>
    <xf numFmtId="175" fontId="10" fillId="6" borderId="1" xfId="1" applyNumberFormat="1" applyFont="1" applyFill="1" applyBorder="1" applyAlignment="1">
      <alignment vertical="center"/>
    </xf>
    <xf numFmtId="0" fontId="10" fillId="4" borderId="3" xfId="0" applyFont="1" applyFill="1" applyBorder="1" applyAlignment="1">
      <alignment horizontal="center" vertical="center"/>
    </xf>
    <xf numFmtId="0" fontId="10" fillId="6" borderId="3" xfId="0" applyFont="1" applyFill="1" applyBorder="1" applyAlignment="1">
      <alignment horizontal="center" vertical="center"/>
    </xf>
    <xf numFmtId="0" fontId="13" fillId="4" borderId="9" xfId="0" applyFont="1" applyFill="1" applyBorder="1" applyAlignment="1">
      <alignment horizontal="left" vertical="center"/>
    </xf>
    <xf numFmtId="172" fontId="0" fillId="6" borderId="5" xfId="1" applyNumberFormat="1" applyFont="1" applyFill="1" applyBorder="1" applyAlignment="1">
      <alignment horizontal="right" vertical="center"/>
    </xf>
    <xf numFmtId="172" fontId="0" fillId="6" borderId="6" xfId="1" applyNumberFormat="1" applyFont="1" applyFill="1" applyBorder="1" applyAlignment="1">
      <alignment horizontal="right" vertical="center"/>
    </xf>
    <xf numFmtId="172" fontId="0" fillId="4" borderId="0" xfId="1" applyNumberFormat="1" applyFont="1" applyFill="1" applyBorder="1" applyAlignment="1">
      <alignment horizontal="right" vertical="center"/>
    </xf>
    <xf numFmtId="172" fontId="0" fillId="4" borderId="8" xfId="1" applyNumberFormat="1" applyFont="1" applyFill="1" applyBorder="1" applyAlignment="1">
      <alignment horizontal="right" vertical="center"/>
    </xf>
    <xf numFmtId="172" fontId="0" fillId="6" borderId="0" xfId="1" applyNumberFormat="1" applyFont="1" applyFill="1" applyBorder="1" applyAlignment="1">
      <alignment horizontal="right" vertical="center"/>
    </xf>
    <xf numFmtId="172" fontId="0" fillId="6" borderId="8" xfId="1" applyNumberFormat="1" applyFont="1" applyFill="1" applyBorder="1" applyAlignment="1">
      <alignment horizontal="right" vertical="center"/>
    </xf>
    <xf numFmtId="172" fontId="0" fillId="4" borderId="10" xfId="1" applyNumberFormat="1" applyFont="1" applyFill="1" applyBorder="1" applyAlignment="1">
      <alignment horizontal="right" vertical="center"/>
    </xf>
    <xf numFmtId="172" fontId="0" fillId="4" borderId="11" xfId="1" applyNumberFormat="1" applyFont="1" applyFill="1" applyBorder="1" applyAlignment="1">
      <alignment horizontal="right" vertical="center"/>
    </xf>
    <xf numFmtId="0" fontId="41" fillId="6" borderId="4" xfId="0" applyFont="1" applyFill="1" applyBorder="1" applyAlignment="1">
      <alignment horizontal="left" vertical="center"/>
    </xf>
    <xf numFmtId="0" fontId="41" fillId="4" borderId="7" xfId="0" applyFont="1" applyFill="1" applyBorder="1" applyAlignment="1">
      <alignment horizontal="left" vertical="center"/>
    </xf>
    <xf numFmtId="0" fontId="41" fillId="6" borderId="7" xfId="0" applyFont="1" applyFill="1" applyBorder="1" applyAlignment="1">
      <alignment horizontal="left" vertical="center"/>
    </xf>
    <xf numFmtId="0" fontId="22" fillId="5" borderId="37" xfId="0" applyFont="1" applyFill="1" applyBorder="1" applyAlignment="1">
      <alignment horizontal="center" vertical="center" wrapText="1"/>
    </xf>
    <xf numFmtId="0" fontId="22" fillId="5" borderId="40" xfId="0" applyFont="1" applyFill="1" applyBorder="1" applyAlignment="1">
      <alignment horizontal="center" vertical="center" wrapText="1"/>
    </xf>
    <xf numFmtId="0" fontId="22" fillId="5" borderId="38" xfId="0" applyFont="1" applyFill="1" applyBorder="1" applyAlignment="1">
      <alignment horizontal="center" vertical="center" wrapText="1"/>
    </xf>
    <xf numFmtId="0" fontId="0" fillId="7" borderId="7" xfId="0" applyFill="1" applyBorder="1" applyAlignment="1">
      <alignment horizontal="left" vertical="center" wrapText="1"/>
    </xf>
    <xf numFmtId="0" fontId="0" fillId="7" borderId="0" xfId="0" applyFill="1" applyAlignment="1">
      <alignment horizontal="left" vertical="center" wrapText="1"/>
    </xf>
    <xf numFmtId="0" fontId="0" fillId="7" borderId="8" xfId="0" applyFill="1" applyBorder="1" applyAlignment="1">
      <alignment horizontal="left" vertical="center" wrapText="1"/>
    </xf>
    <xf numFmtId="0" fontId="0" fillId="7" borderId="9" xfId="0" applyFill="1" applyBorder="1" applyAlignment="1">
      <alignment horizontal="left" vertical="center" wrapText="1"/>
    </xf>
    <xf numFmtId="0" fontId="0" fillId="7" borderId="10" xfId="0" applyFill="1" applyBorder="1" applyAlignment="1">
      <alignment horizontal="left" vertical="center" wrapText="1"/>
    </xf>
    <xf numFmtId="0" fontId="0" fillId="7" borderId="11" xfId="0" applyFill="1" applyBorder="1" applyAlignment="1">
      <alignment horizontal="left" vertical="center" wrapText="1"/>
    </xf>
    <xf numFmtId="0" fontId="11" fillId="3" borderId="2" xfId="0" applyFont="1" applyFill="1" applyBorder="1" applyAlignment="1">
      <alignment horizontal="center" vertical="center"/>
    </xf>
    <xf numFmtId="0" fontId="11" fillId="3" borderId="3" xfId="0" applyFont="1" applyFill="1" applyBorder="1" applyAlignment="1">
      <alignment horizontal="center" vertical="center"/>
    </xf>
    <xf numFmtId="0" fontId="11" fillId="3" borderId="22" xfId="0" applyFont="1" applyFill="1" applyBorder="1" applyAlignment="1">
      <alignment horizontal="center" vertical="center"/>
    </xf>
    <xf numFmtId="0" fontId="23" fillId="5" borderId="4" xfId="0" applyFont="1" applyFill="1" applyBorder="1" applyAlignment="1">
      <alignment horizontal="center" vertical="center" wrapText="1"/>
    </xf>
    <xf numFmtId="0" fontId="23" fillId="5" borderId="5" xfId="0" applyFont="1" applyFill="1" applyBorder="1" applyAlignment="1">
      <alignment horizontal="center" vertical="center" wrapText="1"/>
    </xf>
    <xf numFmtId="0" fontId="23" fillId="5" borderId="6" xfId="0" applyFont="1" applyFill="1" applyBorder="1" applyAlignment="1">
      <alignment horizontal="center" vertical="center" wrapText="1"/>
    </xf>
    <xf numFmtId="0" fontId="0" fillId="7" borderId="7" xfId="0" applyFill="1" applyBorder="1" applyAlignment="1">
      <alignment horizontal="left" vertical="top" wrapText="1"/>
    </xf>
    <xf numFmtId="0" fontId="0" fillId="7" borderId="0" xfId="0" applyFill="1" applyAlignment="1">
      <alignment horizontal="left" vertical="top" wrapText="1"/>
    </xf>
    <xf numFmtId="0" fontId="0" fillId="7" borderId="8" xfId="0" applyFill="1" applyBorder="1" applyAlignment="1">
      <alignment horizontal="left" vertical="top" wrapText="1"/>
    </xf>
    <xf numFmtId="0" fontId="0" fillId="7" borderId="9" xfId="0" applyFill="1" applyBorder="1" applyAlignment="1">
      <alignment horizontal="left" vertical="top" wrapText="1"/>
    </xf>
    <xf numFmtId="0" fontId="0" fillId="7" borderId="10" xfId="0" applyFill="1" applyBorder="1" applyAlignment="1">
      <alignment horizontal="left" vertical="top" wrapText="1"/>
    </xf>
    <xf numFmtId="0" fontId="0" fillId="7" borderId="11" xfId="0" applyFill="1" applyBorder="1" applyAlignment="1">
      <alignment horizontal="left" vertical="top" wrapText="1"/>
    </xf>
    <xf numFmtId="0" fontId="11" fillId="3" borderId="37" xfId="0" applyFont="1" applyFill="1" applyBorder="1" applyAlignment="1">
      <alignment horizontal="center" vertical="center"/>
    </xf>
    <xf numFmtId="0" fontId="11" fillId="3" borderId="38" xfId="0" applyFont="1" applyFill="1" applyBorder="1" applyAlignment="1">
      <alignment horizontal="center" vertical="center"/>
    </xf>
    <xf numFmtId="0" fontId="11" fillId="3" borderId="17" xfId="0" applyFont="1" applyFill="1" applyBorder="1" applyAlignment="1">
      <alignment horizontal="center" vertical="center"/>
    </xf>
    <xf numFmtId="0" fontId="10" fillId="12" borderId="1" xfId="0" applyFont="1" applyFill="1" applyBorder="1" applyAlignment="1">
      <alignment horizontal="left" vertical="center" wrapText="1"/>
    </xf>
    <xf numFmtId="0" fontId="10" fillId="12" borderId="41" xfId="0" applyFont="1" applyFill="1" applyBorder="1" applyAlignment="1">
      <alignment horizontal="left" vertical="center" wrapText="1"/>
    </xf>
    <xf numFmtId="0" fontId="0" fillId="6" borderId="0" xfId="0" applyFill="1" applyAlignment="1">
      <alignment horizontal="left" vertical="top" wrapText="1"/>
    </xf>
    <xf numFmtId="0" fontId="0" fillId="7" borderId="7" xfId="0" applyFill="1" applyBorder="1" applyAlignment="1">
      <alignment horizontal="center" vertical="center" wrapText="1"/>
    </xf>
    <xf numFmtId="0" fontId="0" fillId="7" borderId="8" xfId="0" applyFill="1" applyBorder="1" applyAlignment="1">
      <alignment horizontal="center" vertical="center" wrapText="1"/>
    </xf>
    <xf numFmtId="0" fontId="11" fillId="3" borderId="22" xfId="0" applyFont="1" applyFill="1" applyBorder="1" applyAlignment="1">
      <alignment horizontal="center"/>
    </xf>
    <xf numFmtId="0" fontId="11" fillId="3" borderId="3" xfId="0" applyFont="1" applyFill="1" applyBorder="1" applyAlignment="1">
      <alignment horizontal="center"/>
    </xf>
    <xf numFmtId="0" fontId="0" fillId="7" borderId="9" xfId="0" applyFill="1" applyBorder="1" applyAlignment="1">
      <alignment horizontal="center" vertical="center" wrapText="1"/>
    </xf>
    <xf numFmtId="0" fontId="0" fillId="7" borderId="10" xfId="0" applyFill="1" applyBorder="1" applyAlignment="1">
      <alignment horizontal="center" vertical="center" wrapText="1"/>
    </xf>
    <xf numFmtId="0" fontId="0" fillId="7" borderId="11" xfId="0" applyFill="1" applyBorder="1" applyAlignment="1">
      <alignment horizontal="center" vertical="center" wrapText="1"/>
    </xf>
    <xf numFmtId="0" fontId="22" fillId="5" borderId="16" xfId="0" applyFont="1" applyFill="1" applyBorder="1" applyAlignment="1">
      <alignment horizontal="center" vertical="center" wrapText="1"/>
    </xf>
    <xf numFmtId="0" fontId="22" fillId="5" borderId="17" xfId="0" applyFont="1" applyFill="1" applyBorder="1" applyAlignment="1">
      <alignment horizontal="center" vertical="center" wrapText="1"/>
    </xf>
    <xf numFmtId="0" fontId="22" fillId="5" borderId="39" xfId="0" applyFont="1" applyFill="1" applyBorder="1" applyAlignment="1">
      <alignment horizontal="center" vertical="center" wrapText="1"/>
    </xf>
    <xf numFmtId="0" fontId="22" fillId="5" borderId="18" xfId="0" applyFont="1" applyFill="1" applyBorder="1" applyAlignment="1">
      <alignment horizontal="center" vertical="center" wrapText="1"/>
    </xf>
    <xf numFmtId="0" fontId="28" fillId="16" borderId="4" xfId="0" applyFont="1" applyFill="1" applyBorder="1" applyAlignment="1">
      <alignment horizontal="center" vertical="center"/>
    </xf>
    <xf numFmtId="0" fontId="28" fillId="16" borderId="5" xfId="0" applyFont="1" applyFill="1" applyBorder="1" applyAlignment="1">
      <alignment horizontal="center" vertical="center"/>
    </xf>
    <xf numFmtId="0" fontId="28" fillId="16" borderId="6" xfId="0" applyFont="1" applyFill="1" applyBorder="1" applyAlignment="1">
      <alignment horizontal="center" vertical="center"/>
    </xf>
    <xf numFmtId="4" fontId="10" fillId="4" borderId="1" xfId="0" applyNumberFormat="1" applyFont="1" applyFill="1" applyBorder="1" applyAlignment="1">
      <alignment horizontal="center" vertical="center"/>
    </xf>
    <xf numFmtId="172" fontId="10" fillId="4" borderId="1" xfId="0" applyNumberFormat="1" applyFont="1" applyFill="1" applyBorder="1" applyAlignment="1">
      <alignment horizontal="center" vertical="center"/>
    </xf>
    <xf numFmtId="0" fontId="10" fillId="2" borderId="1" xfId="0" applyFont="1" applyFill="1" applyBorder="1" applyAlignment="1">
      <alignment vertical="center"/>
    </xf>
    <xf numFmtId="179" fontId="10" fillId="6" borderId="1" xfId="0" applyNumberFormat="1" applyFont="1" applyFill="1" applyBorder="1" applyAlignment="1">
      <alignment vertical="center"/>
    </xf>
    <xf numFmtId="0" fontId="11" fillId="3" borderId="16" xfId="0" applyFont="1" applyFill="1" applyBorder="1" applyAlignment="1">
      <alignment horizontal="center"/>
    </xf>
    <xf numFmtId="0" fontId="11" fillId="3" borderId="18" xfId="0" applyFont="1" applyFill="1" applyBorder="1" applyAlignment="1">
      <alignment horizontal="center"/>
    </xf>
    <xf numFmtId="164" fontId="10" fillId="4" borderId="13" xfId="0" applyNumberFormat="1" applyFont="1" applyFill="1" applyBorder="1" applyAlignment="1">
      <alignment horizontal="center" vertical="center"/>
    </xf>
    <xf numFmtId="172" fontId="10" fillId="4" borderId="15" xfId="0" applyNumberFormat="1" applyFont="1" applyFill="1" applyBorder="1" applyAlignment="1">
      <alignment horizontal="center" vertical="center"/>
    </xf>
    <xf numFmtId="172" fontId="10" fillId="9" borderId="1" xfId="0" applyNumberFormat="1" applyFont="1" applyFill="1" applyBorder="1" applyAlignment="1">
      <alignment horizontal="center" vertical="center"/>
    </xf>
    <xf numFmtId="0" fontId="10" fillId="4" borderId="1" xfId="0" applyNumberFormat="1" applyFont="1" applyFill="1" applyBorder="1" applyAlignment="1">
      <alignment horizontal="center" vertical="center"/>
    </xf>
    <xf numFmtId="0" fontId="10" fillId="6" borderId="1" xfId="0" applyNumberFormat="1" applyFont="1" applyFill="1" applyBorder="1" applyAlignment="1">
      <alignment horizontal="center" vertical="center"/>
    </xf>
    <xf numFmtId="0" fontId="10" fillId="10" borderId="1" xfId="0" applyNumberFormat="1" applyFont="1" applyFill="1" applyBorder="1" applyAlignment="1">
      <alignment horizontal="center" vertical="center"/>
    </xf>
    <xf numFmtId="0" fontId="10" fillId="8" borderId="1" xfId="0" applyNumberFormat="1" applyFont="1" applyFill="1" applyBorder="1" applyAlignment="1">
      <alignment horizontal="center" vertical="center"/>
    </xf>
    <xf numFmtId="0" fontId="0" fillId="4" borderId="0" xfId="0" applyFill="1" applyBorder="1"/>
    <xf numFmtId="0" fontId="7" fillId="4" borderId="0" xfId="0" applyFont="1" applyFill="1" applyBorder="1" applyAlignment="1">
      <alignment horizontal="left"/>
    </xf>
    <xf numFmtId="3" fontId="0" fillId="4" borderId="0" xfId="0" applyNumberFormat="1" applyFill="1" applyBorder="1"/>
    <xf numFmtId="0" fontId="18" fillId="4" borderId="0" xfId="0" applyFont="1" applyFill="1" applyBorder="1"/>
    <xf numFmtId="0" fontId="0" fillId="7" borderId="0" xfId="0" applyFill="1" applyBorder="1" applyAlignment="1">
      <alignment horizontal="center" vertical="center" wrapText="1"/>
    </xf>
    <xf numFmtId="0" fontId="10" fillId="4" borderId="0" xfId="0" applyFont="1" applyFill="1" applyBorder="1"/>
    <xf numFmtId="0" fontId="19" fillId="4" borderId="0" xfId="0" applyFont="1" applyFill="1" applyBorder="1"/>
    <xf numFmtId="0" fontId="17" fillId="4" borderId="0" xfId="0" applyFont="1" applyFill="1" applyBorder="1"/>
    <xf numFmtId="43" fontId="10" fillId="4" borderId="0" xfId="0" applyNumberFormat="1" applyFont="1" applyFill="1" applyBorder="1"/>
    <xf numFmtId="0" fontId="2" fillId="4" borderId="0" xfId="0" applyFont="1" applyFill="1" applyBorder="1" applyAlignment="1">
      <alignment horizontal="right" vertical="center"/>
    </xf>
    <xf numFmtId="0" fontId="2" fillId="4" borderId="0" xfId="0" applyFont="1" applyFill="1" applyBorder="1" applyAlignment="1">
      <alignment horizontal="right"/>
    </xf>
    <xf numFmtId="0" fontId="2" fillId="4" borderId="0" xfId="0" applyFont="1" applyFill="1" applyBorder="1"/>
    <xf numFmtId="0" fontId="0" fillId="16" borderId="9" xfId="0" applyFill="1" applyBorder="1"/>
    <xf numFmtId="0" fontId="0" fillId="16" borderId="10" xfId="0" applyFill="1" applyBorder="1"/>
    <xf numFmtId="0" fontId="0" fillId="16" borderId="11" xfId="0" applyFill="1" applyBorder="1"/>
  </cellXfs>
  <cellStyles count="5">
    <cellStyle name="Comma" xfId="1" builtinId="3"/>
    <cellStyle name="Normal" xfId="0" builtinId="0"/>
    <cellStyle name="Normal 2" xfId="4" xr:uid="{00000000-0005-0000-0000-000002000000}"/>
    <cellStyle name="Percent" xfId="2" builtinId="5"/>
    <cellStyle name="Table details left" xfId="3" xr:uid="{00000000-0005-0000-0000-000004000000}"/>
  </cellStyles>
  <dxfs count="21">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1/relationships/timelineCache" Target="timelineCaches/timelineCache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onnections" Target="connection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7</xdr:col>
      <xdr:colOff>43393</xdr:colOff>
      <xdr:row>0</xdr:row>
      <xdr:rowOff>93132</xdr:rowOff>
    </xdr:from>
    <xdr:to>
      <xdr:col>7</xdr:col>
      <xdr:colOff>666750</xdr:colOff>
      <xdr:row>0</xdr:row>
      <xdr:rowOff>417585</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081560" y="93132"/>
          <a:ext cx="623357" cy="324453"/>
        </a:xfrm>
        <a:prstGeom prst="rect">
          <a:avLst/>
        </a:prstGeom>
      </xdr:spPr>
    </xdr:pic>
    <xdr:clientData/>
  </xdr:twoCellAnchor>
  <xdr:oneCellAnchor>
    <xdr:from>
      <xdr:col>4</xdr:col>
      <xdr:colOff>1064270</xdr:colOff>
      <xdr:row>1</xdr:row>
      <xdr:rowOff>53112</xdr:rowOff>
    </xdr:from>
    <xdr:ext cx="6100837" cy="405432"/>
    <xdr:sp macro="" textlink="">
      <xdr:nvSpPr>
        <xdr:cNvPr id="3" name="Rectangle 2">
          <a:extLst>
            <a:ext uri="{FF2B5EF4-FFF2-40B4-BE49-F238E27FC236}">
              <a16:creationId xmlns:a16="http://schemas.microsoft.com/office/drawing/2014/main" id="{B8B08B95-A63A-40FE-E93E-4CBCD52ABACA}"/>
            </a:ext>
          </a:extLst>
        </xdr:cNvPr>
        <xdr:cNvSpPr/>
      </xdr:nvSpPr>
      <xdr:spPr>
        <a:xfrm>
          <a:off x="6324187" y="529362"/>
          <a:ext cx="6100837" cy="405432"/>
        </a:xfrm>
        <a:prstGeom prst="rect">
          <a:avLst/>
        </a:prstGeom>
        <a:noFill/>
      </xdr:spPr>
      <xdr:txBody>
        <a:bodyPr wrap="none" lIns="91440" tIns="45720" rIns="91440" bIns="45720">
          <a:spAutoFit/>
        </a:bodyPr>
        <a:lstStyle/>
        <a:p>
          <a:pPr algn="ctr"/>
          <a:r>
            <a:rPr lang="en-US" sz="2000" b="1" cap="none" spc="0">
              <a:ln w="10160">
                <a:solidFill>
                  <a:schemeClr val="tx1">
                    <a:lumMod val="85000"/>
                    <a:lumOff val="15000"/>
                  </a:schemeClr>
                </a:solidFill>
                <a:prstDash val="solid"/>
              </a:ln>
              <a:solidFill>
                <a:schemeClr val="tx1">
                  <a:lumMod val="50000"/>
                  <a:lumOff val="50000"/>
                </a:schemeClr>
              </a:solidFill>
              <a:effectLst>
                <a:outerShdw blurRad="38100" dist="22860" dir="5400000" algn="tl" rotWithShape="0">
                  <a:srgbClr val="000000">
                    <a:alpha val="30000"/>
                  </a:srgbClr>
                </a:outerShdw>
              </a:effectLst>
            </a:rPr>
            <a:t>COSTING MODEL FOR SINGLE PRODUCT - COMPARISON</a:t>
          </a:r>
        </a:p>
      </xdr:txBody>
    </xdr:sp>
    <xdr:clientData/>
  </xdr:oneCellAnchor>
  <xdr:twoCellAnchor editAs="oneCell">
    <xdr:from>
      <xdr:col>2</xdr:col>
      <xdr:colOff>2255924</xdr:colOff>
      <xdr:row>3</xdr:row>
      <xdr:rowOff>240633</xdr:rowOff>
    </xdr:from>
    <xdr:to>
      <xdr:col>3</xdr:col>
      <xdr:colOff>330481</xdr:colOff>
      <xdr:row>5</xdr:row>
      <xdr:rowOff>80212</xdr:rowOff>
    </xdr:to>
    <xdr:pic>
      <xdr:nvPicPr>
        <xdr:cNvPr id="7" name="Graphic 6" descr="Arrow: Rotate right with solid fill">
          <a:extLst>
            <a:ext uri="{FF2B5EF4-FFF2-40B4-BE49-F238E27FC236}">
              <a16:creationId xmlns:a16="http://schemas.microsoft.com/office/drawing/2014/main" id="{BE355E50-46CE-635F-690D-6339CE9421D5}"/>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rot="2214042">
          <a:off x="4000503" y="1443791"/>
          <a:ext cx="330868" cy="330868"/>
        </a:xfrm>
        <a:prstGeom prst="rect">
          <a:avLst/>
        </a:prstGeom>
      </xdr:spPr>
    </xdr:pic>
    <xdr:clientData/>
  </xdr:twoCellAnchor>
  <xdr:twoCellAnchor editAs="oneCell">
    <xdr:from>
      <xdr:col>2</xdr:col>
      <xdr:colOff>2255921</xdr:colOff>
      <xdr:row>21</xdr:row>
      <xdr:rowOff>140368</xdr:rowOff>
    </xdr:from>
    <xdr:to>
      <xdr:col>3</xdr:col>
      <xdr:colOff>330478</xdr:colOff>
      <xdr:row>22</xdr:row>
      <xdr:rowOff>260683</xdr:rowOff>
    </xdr:to>
    <xdr:pic>
      <xdr:nvPicPr>
        <xdr:cNvPr id="8" name="Graphic 7" descr="Arrow: Rotate right with solid fill">
          <a:extLst>
            <a:ext uri="{FF2B5EF4-FFF2-40B4-BE49-F238E27FC236}">
              <a16:creationId xmlns:a16="http://schemas.microsoft.com/office/drawing/2014/main" id="{587292A9-5B2B-4E1F-A967-25FFEC95FD6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rot="2214042">
          <a:off x="4000500" y="6256421"/>
          <a:ext cx="330868" cy="3308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496887</xdr:colOff>
      <xdr:row>0</xdr:row>
      <xdr:rowOff>78581</xdr:rowOff>
    </xdr:from>
    <xdr:to>
      <xdr:col>9</xdr:col>
      <xdr:colOff>369209</xdr:colOff>
      <xdr:row>0</xdr:row>
      <xdr:rowOff>507206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900054" y="78581"/>
          <a:ext cx="824822" cy="428625"/>
        </a:xfrm>
        <a:prstGeom prst="rect">
          <a:avLst/>
        </a:prstGeom>
      </xdr:spPr>
    </xdr:pic>
    <xdr:clientData/>
  </xdr:twoCellAnchor>
  <xdr:oneCellAnchor>
    <xdr:from>
      <xdr:col>2</xdr:col>
      <xdr:colOff>1463674</xdr:colOff>
      <xdr:row>2</xdr:row>
      <xdr:rowOff>227539</xdr:rowOff>
    </xdr:from>
    <xdr:ext cx="330868" cy="330868"/>
    <xdr:pic>
      <xdr:nvPicPr>
        <xdr:cNvPr id="3" name="Graphic 2" descr="Arrow: Rotate right with solid fill">
          <a:extLst>
            <a:ext uri="{FF2B5EF4-FFF2-40B4-BE49-F238E27FC236}">
              <a16:creationId xmlns:a16="http://schemas.microsoft.com/office/drawing/2014/main" id="{D087852A-2704-46B4-A2A3-C40E7888FA6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rot="2214042">
          <a:off x="3030007" y="1137706"/>
          <a:ext cx="330868" cy="330868"/>
        </a:xfrm>
        <a:prstGeom prst="rect">
          <a:avLst/>
        </a:prstGeom>
      </xdr:spPr>
    </xdr:pic>
    <xdr:clientData/>
  </xdr:oneCellAnchor>
  <xdr:oneCellAnchor>
    <xdr:from>
      <xdr:col>5</xdr:col>
      <xdr:colOff>562141</xdr:colOff>
      <xdr:row>1</xdr:row>
      <xdr:rowOff>88398</xdr:rowOff>
    </xdr:from>
    <xdr:ext cx="7086876" cy="405432"/>
    <xdr:sp macro="" textlink="">
      <xdr:nvSpPr>
        <xdr:cNvPr id="4" name="Rectangle 3">
          <a:extLst>
            <a:ext uri="{FF2B5EF4-FFF2-40B4-BE49-F238E27FC236}">
              <a16:creationId xmlns:a16="http://schemas.microsoft.com/office/drawing/2014/main" id="{5E944555-4136-AD4C-DE66-5FAF2CD25699}"/>
            </a:ext>
          </a:extLst>
        </xdr:cNvPr>
        <xdr:cNvSpPr/>
      </xdr:nvSpPr>
      <xdr:spPr>
        <a:xfrm>
          <a:off x="5696116" y="697998"/>
          <a:ext cx="7086876" cy="405432"/>
        </a:xfrm>
        <a:prstGeom prst="rect">
          <a:avLst/>
        </a:prstGeom>
        <a:noFill/>
      </xdr:spPr>
      <xdr:txBody>
        <a:bodyPr wrap="none" lIns="91440" tIns="45720" rIns="91440" bIns="45720">
          <a:spAutoFit/>
        </a:bodyPr>
        <a:lstStyle/>
        <a:p>
          <a:pPr algn="ctr"/>
          <a:r>
            <a:rPr lang="en-US" sz="2000" b="1" cap="none" spc="0">
              <a:ln w="10160">
                <a:solidFill>
                  <a:schemeClr val="tx1">
                    <a:lumMod val="75000"/>
                    <a:lumOff val="25000"/>
                  </a:schemeClr>
                </a:solidFill>
                <a:prstDash val="solid"/>
              </a:ln>
              <a:solidFill>
                <a:schemeClr val="tx1">
                  <a:lumMod val="50000"/>
                  <a:lumOff val="50000"/>
                </a:schemeClr>
              </a:solidFill>
              <a:effectLst>
                <a:outerShdw blurRad="38100" dist="22860" dir="5400000" algn="tl" rotWithShape="0">
                  <a:srgbClr val="000000">
                    <a:alpha val="30000"/>
                  </a:srgbClr>
                </a:outerShdw>
              </a:effectLst>
            </a:rPr>
            <a:t>COSTING MODEL FOR MULTIPLE PRODUCTS ON ONE CONTAINER</a:t>
          </a:r>
        </a:p>
      </xdr:txBody>
    </xdr:sp>
    <xdr:clientData/>
  </xdr:oneCellAnchor>
  <xdr:oneCellAnchor>
    <xdr:from>
      <xdr:col>2</xdr:col>
      <xdr:colOff>1477433</xdr:colOff>
      <xdr:row>24</xdr:row>
      <xdr:rowOff>126998</xdr:rowOff>
    </xdr:from>
    <xdr:ext cx="330868" cy="330868"/>
    <xdr:pic>
      <xdr:nvPicPr>
        <xdr:cNvPr id="5" name="Graphic 4" descr="Arrow: Rotate right with solid fill">
          <a:extLst>
            <a:ext uri="{FF2B5EF4-FFF2-40B4-BE49-F238E27FC236}">
              <a16:creationId xmlns:a16="http://schemas.microsoft.com/office/drawing/2014/main" id="{F5E2CCC5-A983-4C54-8884-58A8B531CE5A}"/>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rot="2214042">
          <a:off x="3043766" y="7196665"/>
          <a:ext cx="330868" cy="330868"/>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6</xdr:col>
      <xdr:colOff>117474</xdr:colOff>
      <xdr:row>0</xdr:row>
      <xdr:rowOff>76201</xdr:rowOff>
    </xdr:from>
    <xdr:to>
      <xdr:col>6</xdr:col>
      <xdr:colOff>719666</xdr:colOff>
      <xdr:row>0</xdr:row>
      <xdr:rowOff>388834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16557" y="76201"/>
          <a:ext cx="602192" cy="312633"/>
        </a:xfrm>
        <a:prstGeom prst="rect">
          <a:avLst/>
        </a:prstGeom>
      </xdr:spPr>
    </xdr:pic>
    <xdr:clientData/>
  </xdr:twoCellAnchor>
  <xdr:twoCellAnchor editAs="oneCell">
    <xdr:from>
      <xdr:col>1</xdr:col>
      <xdr:colOff>2032000</xdr:colOff>
      <xdr:row>28</xdr:row>
      <xdr:rowOff>148167</xdr:rowOff>
    </xdr:from>
    <xdr:to>
      <xdr:col>2</xdr:col>
      <xdr:colOff>277951</xdr:colOff>
      <xdr:row>29</xdr:row>
      <xdr:rowOff>267368</xdr:rowOff>
    </xdr:to>
    <xdr:pic>
      <xdr:nvPicPr>
        <xdr:cNvPr id="3" name="Graphic 2" descr="Arrow: Rotate right with solid fill">
          <a:extLst>
            <a:ext uri="{FF2B5EF4-FFF2-40B4-BE49-F238E27FC236}">
              <a16:creationId xmlns:a16="http://schemas.microsoft.com/office/drawing/2014/main" id="{94270F5B-B3D2-4005-93E5-9BC3CC78AE4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rot="2214042">
          <a:off x="2645833" y="7641167"/>
          <a:ext cx="330868" cy="330868"/>
        </a:xfrm>
        <a:prstGeom prst="rect">
          <a:avLst/>
        </a:prstGeom>
      </xdr:spPr>
    </xdr:pic>
    <xdr:clientData/>
  </xdr:twoCellAnchor>
  <xdr:twoCellAnchor editAs="oneCell">
    <xdr:from>
      <xdr:col>1</xdr:col>
      <xdr:colOff>2021417</xdr:colOff>
      <xdr:row>2</xdr:row>
      <xdr:rowOff>137584</xdr:rowOff>
    </xdr:from>
    <xdr:to>
      <xdr:col>2</xdr:col>
      <xdr:colOff>267368</xdr:colOff>
      <xdr:row>3</xdr:row>
      <xdr:rowOff>267369</xdr:rowOff>
    </xdr:to>
    <xdr:pic>
      <xdr:nvPicPr>
        <xdr:cNvPr id="4" name="Graphic 3" descr="Arrow: Rotate right with solid fill">
          <a:extLst>
            <a:ext uri="{FF2B5EF4-FFF2-40B4-BE49-F238E27FC236}">
              <a16:creationId xmlns:a16="http://schemas.microsoft.com/office/drawing/2014/main" id="{BA75F1E8-B303-49D6-B570-C4AA32BD9F45}"/>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rot="2214042">
          <a:off x="2635250" y="1058334"/>
          <a:ext cx="330868" cy="330868"/>
        </a:xfrm>
        <a:prstGeom prst="rect">
          <a:avLst/>
        </a:prstGeom>
      </xdr:spPr>
    </xdr:pic>
    <xdr:clientData/>
  </xdr:twoCellAnchor>
  <xdr:oneCellAnchor>
    <xdr:from>
      <xdr:col>4</xdr:col>
      <xdr:colOff>456593</xdr:colOff>
      <xdr:row>1</xdr:row>
      <xdr:rowOff>39185</xdr:rowOff>
    </xdr:from>
    <xdr:ext cx="5225148" cy="405432"/>
    <xdr:sp macro="" textlink="">
      <xdr:nvSpPr>
        <xdr:cNvPr id="5" name="Rectangle 4">
          <a:extLst>
            <a:ext uri="{FF2B5EF4-FFF2-40B4-BE49-F238E27FC236}">
              <a16:creationId xmlns:a16="http://schemas.microsoft.com/office/drawing/2014/main" id="{1CA22392-1A6B-78EB-FA29-580999F00E6E}"/>
            </a:ext>
          </a:extLst>
        </xdr:cNvPr>
        <xdr:cNvSpPr/>
      </xdr:nvSpPr>
      <xdr:spPr>
        <a:xfrm>
          <a:off x="7399260" y="515435"/>
          <a:ext cx="5225148" cy="405432"/>
        </a:xfrm>
        <a:prstGeom prst="rect">
          <a:avLst/>
        </a:prstGeom>
        <a:noFill/>
      </xdr:spPr>
      <xdr:txBody>
        <a:bodyPr wrap="none" lIns="91440" tIns="45720" rIns="91440" bIns="45720">
          <a:spAutoFit/>
        </a:bodyPr>
        <a:lstStyle/>
        <a:p>
          <a:pPr algn="ctr"/>
          <a:r>
            <a:rPr lang="en-US" sz="2000" b="1" cap="none" spc="0">
              <a:ln w="10160">
                <a:solidFill>
                  <a:schemeClr val="tx1">
                    <a:lumMod val="85000"/>
                    <a:lumOff val="15000"/>
                  </a:schemeClr>
                </a:solidFill>
                <a:prstDash val="solid"/>
              </a:ln>
              <a:solidFill>
                <a:schemeClr val="tx1">
                  <a:lumMod val="50000"/>
                  <a:lumOff val="50000"/>
                </a:schemeClr>
              </a:solidFill>
              <a:effectLst>
                <a:outerShdw blurRad="38100" dist="22860" dir="5400000" algn="tl" rotWithShape="0">
                  <a:srgbClr val="000000">
                    <a:alpha val="30000"/>
                  </a:srgbClr>
                </a:outerShdw>
              </a:effectLst>
            </a:rPr>
            <a:t>COSTING MODEL FOR BULK PRODUCT COSTING</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5</xdr:col>
      <xdr:colOff>51982</xdr:colOff>
      <xdr:row>1</xdr:row>
      <xdr:rowOff>48219</xdr:rowOff>
    </xdr:from>
    <xdr:ext cx="6718827" cy="405432"/>
    <xdr:sp macro="" textlink="">
      <xdr:nvSpPr>
        <xdr:cNvPr id="5" name="Rectangle 4">
          <a:extLst>
            <a:ext uri="{FF2B5EF4-FFF2-40B4-BE49-F238E27FC236}">
              <a16:creationId xmlns:a16="http://schemas.microsoft.com/office/drawing/2014/main" id="{00000000-0008-0000-0100-000005000000}"/>
            </a:ext>
          </a:extLst>
        </xdr:cNvPr>
        <xdr:cNvSpPr/>
      </xdr:nvSpPr>
      <xdr:spPr>
        <a:xfrm>
          <a:off x="7040674" y="524469"/>
          <a:ext cx="6718827" cy="405432"/>
        </a:xfrm>
        <a:prstGeom prst="rect">
          <a:avLst/>
        </a:prstGeom>
        <a:noFill/>
      </xdr:spPr>
      <xdr:txBody>
        <a:bodyPr wrap="none" lIns="91440" tIns="45720" rIns="91440" bIns="45720">
          <a:spAutoFit/>
        </a:bodyPr>
        <a:lstStyle/>
        <a:p>
          <a:pPr algn="ctr"/>
          <a:r>
            <a:rPr lang="en-US" sz="2000" b="0" cap="none" spc="0">
              <a:ln w="0">
                <a:solidFill>
                  <a:schemeClr val="tx2">
                    <a:lumMod val="50000"/>
                  </a:schemeClr>
                </a:solidFill>
              </a:ln>
              <a:solidFill>
                <a:schemeClr val="tx2">
                  <a:lumMod val="75000"/>
                </a:schemeClr>
              </a:solidFill>
              <a:effectLst>
                <a:outerShdw blurRad="50800" dist="38100" dir="2700000" algn="tl" rotWithShape="0">
                  <a:prstClr val="black">
                    <a:alpha val="40000"/>
                  </a:prstClr>
                </a:outerShdw>
                <a:reflection blurRad="6350" stA="55000" endA="300" endPos="45500" dir="5400000" sy="-100000" algn="bl" rotWithShape="0"/>
              </a:effectLst>
            </a:rPr>
            <a:t>COSTING MODEL FOR SINGLE PRODUCT (NPD) - COMPARISON </a:t>
          </a:r>
          <a:endParaRPr lang="en-US" sz="3200" b="0" cap="none" spc="0">
            <a:ln w="0">
              <a:solidFill>
                <a:schemeClr val="tx2">
                  <a:lumMod val="50000"/>
                </a:schemeClr>
              </a:solidFill>
            </a:ln>
            <a:solidFill>
              <a:schemeClr val="tx2">
                <a:lumMod val="75000"/>
              </a:schemeClr>
            </a:solidFill>
            <a:effectLst>
              <a:outerShdw blurRad="50800" dist="38100" dir="2700000" algn="tl" rotWithShape="0">
                <a:prstClr val="black">
                  <a:alpha val="40000"/>
                </a:prstClr>
              </a:outerShdw>
              <a:reflection blurRad="6350" stA="55000" endA="300" endPos="45500" dir="5400000" sy="-100000" algn="bl" rotWithShape="0"/>
            </a:effectLst>
          </a:endParaRPr>
        </a:p>
      </xdr:txBody>
    </xdr:sp>
    <xdr:clientData/>
  </xdr:oneCellAnchor>
  <xdr:twoCellAnchor>
    <xdr:from>
      <xdr:col>7</xdr:col>
      <xdr:colOff>466652</xdr:colOff>
      <xdr:row>0</xdr:row>
      <xdr:rowOff>93576</xdr:rowOff>
    </xdr:from>
    <xdr:to>
      <xdr:col>7</xdr:col>
      <xdr:colOff>1041106</xdr:colOff>
      <xdr:row>0</xdr:row>
      <xdr:rowOff>394804</xdr:rowOff>
    </xdr:to>
    <xdr:pic>
      <xdr:nvPicPr>
        <xdr:cNvPr id="3" name="Picture 2">
          <a:extLst>
            <a:ext uri="{FF2B5EF4-FFF2-40B4-BE49-F238E27FC236}">
              <a16:creationId xmlns:a16="http://schemas.microsoft.com/office/drawing/2014/main" id="{B1DB810C-64E2-46E9-A6A8-2AC0CD915D2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35954" y="93576"/>
          <a:ext cx="574454" cy="301228"/>
        </a:xfrm>
        <a:prstGeom prst="rect">
          <a:avLst/>
        </a:prstGeom>
      </xdr:spPr>
    </xdr:pic>
    <xdr:clientData/>
  </xdr:twoCellAnchor>
  <xdr:twoCellAnchor editAs="oneCell">
    <xdr:from>
      <xdr:col>2</xdr:col>
      <xdr:colOff>2222499</xdr:colOff>
      <xdr:row>21</xdr:row>
      <xdr:rowOff>148166</xdr:rowOff>
    </xdr:from>
    <xdr:to>
      <xdr:col>3</xdr:col>
      <xdr:colOff>246200</xdr:colOff>
      <xdr:row>22</xdr:row>
      <xdr:rowOff>267368</xdr:rowOff>
    </xdr:to>
    <xdr:pic>
      <xdr:nvPicPr>
        <xdr:cNvPr id="8" name="Graphic 7" descr="Arrow: Rotate right with solid fill">
          <a:extLst>
            <a:ext uri="{FF2B5EF4-FFF2-40B4-BE49-F238E27FC236}">
              <a16:creationId xmlns:a16="http://schemas.microsoft.com/office/drawing/2014/main" id="{304B2990-BD6B-448F-BDB4-E51AF973AF2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rot="2214042">
          <a:off x="4074582" y="6106583"/>
          <a:ext cx="330868" cy="330868"/>
        </a:xfrm>
        <a:prstGeom prst="rect">
          <a:avLst/>
        </a:prstGeom>
      </xdr:spPr>
    </xdr:pic>
    <xdr:clientData/>
  </xdr:twoCellAnchor>
  <xdr:oneCellAnchor>
    <xdr:from>
      <xdr:col>2</xdr:col>
      <xdr:colOff>2243667</xdr:colOff>
      <xdr:row>2</xdr:row>
      <xdr:rowOff>253998</xdr:rowOff>
    </xdr:from>
    <xdr:ext cx="330868" cy="330868"/>
    <xdr:pic>
      <xdr:nvPicPr>
        <xdr:cNvPr id="9" name="Graphic 8" descr="Arrow: Rotate right with solid fill">
          <a:extLst>
            <a:ext uri="{FF2B5EF4-FFF2-40B4-BE49-F238E27FC236}">
              <a16:creationId xmlns:a16="http://schemas.microsoft.com/office/drawing/2014/main" id="{D7AA7AEA-4955-47FB-8F4B-C086662F2FB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rot="2214042">
          <a:off x="4095750" y="1164165"/>
          <a:ext cx="330868" cy="330868"/>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10</xdr:col>
      <xdr:colOff>133350</xdr:colOff>
      <xdr:row>1</xdr:row>
      <xdr:rowOff>28575</xdr:rowOff>
    </xdr:from>
    <xdr:to>
      <xdr:col>15</xdr:col>
      <xdr:colOff>180975</xdr:colOff>
      <xdr:row>8</xdr:row>
      <xdr:rowOff>76200</xdr:rowOff>
    </xdr:to>
    <mc:AlternateContent xmlns:mc="http://schemas.openxmlformats.org/markup-compatibility/2006" xmlns:tsle="http://schemas.microsoft.com/office/drawing/2012/timeslicer">
      <mc:Choice Requires="tsle">
        <xdr:graphicFrame macro="">
          <xdr:nvGraphicFramePr>
            <xdr:cNvPr id="3" name="Starting Date">
              <a:extLst>
                <a:ext uri="{FF2B5EF4-FFF2-40B4-BE49-F238E27FC236}">
                  <a16:creationId xmlns:a16="http://schemas.microsoft.com/office/drawing/2014/main" id="{2735A120-90AC-7B3C-AE53-1A6C45E52D47}"/>
                </a:ext>
              </a:extLst>
            </xdr:cNvPr>
            <xdr:cNvGraphicFramePr/>
          </xdr:nvGraphicFramePr>
          <xdr:xfrm>
            <a:off x="0" y="0"/>
            <a:ext cx="0" cy="0"/>
          </xdr:xfrm>
          <a:graphic>
            <a:graphicData uri="http://schemas.microsoft.com/office/drawing/2012/timeslicer">
              <tsle:timeslicer name="Starting Date"/>
            </a:graphicData>
          </a:graphic>
        </xdr:graphicFrame>
      </mc:Choice>
      <mc:Fallback xmlns="">
        <xdr:sp macro="" textlink="">
          <xdr:nvSpPr>
            <xdr:cNvPr id="0" name=""/>
            <xdr:cNvSpPr>
              <a:spLocks noTextEdit="1"/>
            </xdr:cNvSpPr>
          </xdr:nvSpPr>
          <xdr:spPr>
            <a:xfrm>
              <a:off x="14668500" y="409575"/>
              <a:ext cx="3095625" cy="1381125"/>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oneCell">
    <xdr:from>
      <xdr:col>10</xdr:col>
      <xdr:colOff>133350</xdr:colOff>
      <xdr:row>9</xdr:row>
      <xdr:rowOff>28576</xdr:rowOff>
    </xdr:from>
    <xdr:to>
      <xdr:col>15</xdr:col>
      <xdr:colOff>190500</xdr:colOff>
      <xdr:row>18</xdr:row>
      <xdr:rowOff>28576</xdr:rowOff>
    </xdr:to>
    <mc:AlternateContent xmlns:mc="http://schemas.openxmlformats.org/markup-compatibility/2006" xmlns:a14="http://schemas.microsoft.com/office/drawing/2010/main">
      <mc:Choice Requires="a14">
        <xdr:graphicFrame macro="">
          <xdr:nvGraphicFramePr>
            <xdr:cNvPr id="4" name="Vendor No_">
              <a:extLst>
                <a:ext uri="{FF2B5EF4-FFF2-40B4-BE49-F238E27FC236}">
                  <a16:creationId xmlns:a16="http://schemas.microsoft.com/office/drawing/2014/main" id="{9D10DA39-2206-E2B4-AB31-FBCB76E0DF94}"/>
                </a:ext>
              </a:extLst>
            </xdr:cNvPr>
            <xdr:cNvGraphicFramePr/>
          </xdr:nvGraphicFramePr>
          <xdr:xfrm>
            <a:off x="0" y="0"/>
            <a:ext cx="0" cy="0"/>
          </xdr:xfrm>
          <a:graphic>
            <a:graphicData uri="http://schemas.microsoft.com/office/drawing/2010/slicer">
              <sle:slicer xmlns:sle="http://schemas.microsoft.com/office/drawing/2010/slicer" name="Vendor No_"/>
            </a:graphicData>
          </a:graphic>
        </xdr:graphicFrame>
      </mc:Choice>
      <mc:Fallback xmlns="">
        <xdr:sp macro="" textlink="">
          <xdr:nvSpPr>
            <xdr:cNvPr id="0" name=""/>
            <xdr:cNvSpPr>
              <a:spLocks noTextEdit="1"/>
            </xdr:cNvSpPr>
          </xdr:nvSpPr>
          <xdr:spPr>
            <a:xfrm>
              <a:off x="14668500" y="1933576"/>
              <a:ext cx="3105150" cy="17145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ndy HM. Bandara" refreshedDate="45637.468300694447" backgroundQuery="1" createdVersion="8" refreshedVersion="8" minRefreshableVersion="3" recordCount="243" xr:uid="{00000000-000A-0000-FFFF-FFFF00000000}">
  <cacheSource type="external" connectionId="1"/>
  <cacheFields count="15">
    <cacheField name="Vendor No_" numFmtId="0">
      <sharedItems count="9">
        <s v="SP03"/>
        <s v="TH08"/>
        <s v="CH06"/>
        <s v="CH18"/>
        <s v="WE14"/>
        <s v="MA105"/>
        <s v="IN10"/>
        <s v="SU04"/>
        <s v="SW04"/>
      </sharedItems>
    </cacheField>
    <cacheField name="No_" numFmtId="0">
      <sharedItems count="170">
        <s v="B1401551A"/>
        <s v="B1402202"/>
        <s v="B1402213"/>
        <s v="B1402246"/>
        <s v="B1402256"/>
        <s v="B1402264"/>
        <s v="B1403401"/>
        <s v="B1403404"/>
        <s v="B1403410"/>
        <s v="B3413700"/>
        <s v="B3413701"/>
        <s v="B3413702"/>
        <s v="C10003"/>
        <s v="C10006B"/>
        <s v="C10007B"/>
        <s v="C10027B"/>
        <s v="C10028A"/>
        <s v="C10035B"/>
        <s v="C10050A"/>
        <s v="C10075B"/>
        <s v="C10101"/>
        <s v="C10102"/>
        <s v="C10104"/>
        <s v="C10109B"/>
        <s v="C10138"/>
        <s v="C10139"/>
        <s v="C10142A"/>
        <s v="C10144"/>
        <s v="C10145"/>
        <s v="C10166"/>
        <s v="C10170"/>
        <s v="C10171"/>
        <s v="C10172"/>
        <s v="C10179"/>
        <s v="C10180"/>
        <s v="C10181"/>
        <s v="C10182"/>
        <s v="C10183"/>
        <s v="C10184"/>
        <s v="C10185"/>
        <s v="C10187"/>
        <s v="C10188"/>
        <s v="C10189"/>
        <s v="C10190"/>
        <s v="C10192"/>
        <s v="C10193"/>
        <s v="C10194"/>
        <s v="C10197"/>
        <s v="C10198"/>
        <s v="C10199"/>
        <s v="C10200"/>
        <s v="C10203"/>
        <s v="C10204"/>
        <s v="C10205"/>
        <s v="C10206"/>
        <s v="C10207"/>
        <s v="C10208"/>
        <s v="C10209"/>
        <s v="C10210"/>
        <s v="C10211"/>
        <s v="C10212"/>
        <s v="C10213"/>
        <s v="C10214"/>
        <s v="C10215"/>
        <s v="C10216"/>
        <s v="C10217"/>
        <s v="C10218"/>
        <s v="C10219"/>
        <s v="C10220"/>
        <s v="C10221M"/>
        <s v="C10222M"/>
        <s v="C10223M"/>
        <s v="C10224M"/>
        <s v="C10225M"/>
        <s v="C10226M"/>
        <s v="C10227"/>
        <s v="C10228"/>
        <s v="C10229"/>
        <s v="C10230"/>
        <s v="D10000"/>
        <s v="G1450100"/>
        <s v="G1450200"/>
        <s v="G1450300"/>
        <s v="G1450500"/>
        <s v="G1450500A"/>
        <s v="G1450505"/>
        <s v="G1450508A"/>
        <s v="G1450600AB"/>
        <s v="G1450700"/>
        <s v="G1452302"/>
        <s v="G1452503"/>
        <s v="G1452600"/>
        <s v="G3412403"/>
        <s v="G3413800"/>
        <s v="G3450518"/>
        <s v="K3470300"/>
        <s v="N1152800"/>
        <s v="N1410204AB"/>
        <s v="N1411301A"/>
        <s v="N1411508"/>
        <s v="N1411917"/>
        <s v="N1411917A"/>
        <s v="N1412106A"/>
        <s v="N1412108"/>
        <s v="N1412301"/>
        <s v="N1412414"/>
        <s v="N1412629"/>
        <s v="N1412630"/>
        <s v="N1413801"/>
        <s v="N1413803A"/>
        <s v="N1413900A"/>
        <s v="N1413901A"/>
        <s v="N1414204A"/>
        <s v="N1414208"/>
        <s v="N1414401A"/>
        <s v="N1414402"/>
        <s v="N1452001A"/>
        <s v="N1452002A"/>
        <s v="N1452003A"/>
        <s v="N1452004A"/>
        <s v="N1452005A"/>
        <s v="N1452006A"/>
        <s v="N1452007A"/>
        <s v="N1452010A"/>
        <s v="N1452011A"/>
        <s v="N1452012A"/>
        <s v="N1452013A"/>
        <s v="N1452014"/>
        <s v="N1452015"/>
        <s v="N1452107"/>
        <s v="N1452117"/>
        <s v="N1452122"/>
        <s v="N1452123"/>
        <s v="N1452124"/>
        <s v="N1452126"/>
        <s v="N1452127"/>
        <s v="N1452128"/>
        <s v="N1452132"/>
        <s v="N1452133"/>
        <s v="N1452134"/>
        <s v="N1452135"/>
        <s v="N3410106"/>
        <s v="N3410225"/>
        <s v="N3411205"/>
        <s v="N3411415"/>
        <s v="N3411900"/>
        <s v="N3412106"/>
        <s v="N3412404"/>
        <s v="N3412806"/>
        <s v="N3414301"/>
        <s v="N3414500"/>
        <s v="N3452001"/>
        <s v="N3452001E"/>
        <s v="N3452002"/>
        <s v="N3452003"/>
        <s v="N3452003E"/>
        <s v="N3452004"/>
        <s v="N3452005"/>
        <s v="N3452006"/>
        <s v="N3452011E"/>
        <s v="S10000"/>
        <s v="S10001"/>
        <s v="S10002"/>
        <s v="S1402100"/>
        <s v="S1402101"/>
        <s v="S1402102"/>
        <s v="S1402103"/>
        <s v="S1402104"/>
        <s v="S1402105"/>
        <s v="V1411200A"/>
      </sharedItems>
    </cacheField>
    <cacheField name="Description" numFmtId="0">
      <sharedItems count="165">
        <s v="Meadowvale Steamed Cooked Fillets (150-230g)"/>
        <s v="Meadowvale Cooked Chicken Diced (12mm)"/>
        <s v="Meadowvale Sliced Chicken Cajun (5mm)"/>
        <s v="Meadowvale Sliced Chicken Breast (5mm)"/>
        <s v="Meadowvale Sliced Chicken Tikka (5mm)"/>
        <s v="Meadowvale Cooked Chicken Strips (12mm)"/>
        <s v="Meadowvale Cooked Chicken Tikka Diced (10mm)"/>
        <s v="Meadowvale Cooked Chicken Tandoori Diced (10mm)"/>
        <s v="Hot &amp; Spicy Diced Chicken (10mm)"/>
        <s v="Party Food Plain Mini Skewers (15g)"/>
        <s v="Party Food Satay Mini Skewers (15g)"/>
        <s v="Party Food Tikka Mini Skewers (15g)"/>
        <s v="Home Bargains Battered Chicken Breast Chunks (28497)"/>
        <s v="LA Diner Hot &amp; Spicy Chicken Fillets (E491)"/>
        <s v="LA Diner Southern Fried Chicken Fillets (E490)"/>
        <s v="LA Diner Battered Chicken Bites (E501)"/>
        <s v="LA Diner Chicken Goujons (E498)"/>
        <s v="LA Diner Hot &amp; Spicy Chicken Bites (E505)"/>
        <s v="LA Diner Southern Fried Chicken Goujons (E489)"/>
        <s v="LA Diner Battered Chicken Fillets (E492)"/>
        <s v="Farmfoods Easy Cook Vegetable Spring Rolls (L027)"/>
        <s v="Easy Cook Duck Spring Rolls (L028)"/>
        <s v="Easy Cook Vegetable Samosas (L066)"/>
        <s v="LA Diner Southern Fried Chicken Bites (E495)"/>
        <s v="Farmfoods Takeaway Crunchy Chicken Tenders (E514)"/>
        <s v="Farmfoods Takeaway Hot &amp; Spicy Chicken Tenders (E513)"/>
        <s v="Heron Duck Spring Rolls"/>
        <s v="B&amp;M Plain Chicken Strips 320g"/>
        <s v="Tikka Strips 320g"/>
        <s v="Farmfoods Takeaway Pickin Chicken (E369)"/>
        <s v="Farmfoods Takeaway Plain Popcorn Chicken (E530)"/>
        <s v="Farmfoods Takeaway BBQ Chicken Tenders (E497)"/>
        <s v="Heron Salt &amp; Chilli Bites"/>
        <s v="Heron Garlic &amp; Herb Bites"/>
        <s v="Farmfoods Takeaway Crispy Shredded Chicken (E552)"/>
        <s v="Farmfoods Takeaway Salt &amp; Pepper Shredded Chicken (E570)"/>
        <s v="Farmfoods Takeaway Salt &amp; Chilli Shredded Chicken (E588)"/>
        <s v="Farmfoods Takeaway 12 Tandoori Chicken Tenders (E540)"/>
        <s v="Farmfoods Takeaway 12 Butter Chicken Tenders (E542)"/>
        <s v="Farmfoods Takeaway 12 Pakora Chicken Tenders (E541)"/>
        <s v="Farmfoods Takeaway Saucy Shredded Curry Chicken (E563)"/>
        <s v="Farmfoods Takeaway Saucy Shredded Hot &amp; Spicy (E564)"/>
        <s v="Farmfoods Takeaway Saucy Shredded Spicy BBQ (E565)"/>
        <s v="Farmfoods Takeaway 6 Zinger Fillets (E569)"/>
        <s v="Home Bargains Southern Fried Chicken Breast Strips (24184)"/>
        <s v="Home Bargains Battered Chicken Breast Strips (24185)"/>
        <s v="Home Bargains Hot &amp; Spicy Chicken Breast Strips (24198)"/>
        <s v="Farmfoods Takeaway 6 Satay Fillets (E590)"/>
        <s v="Farmfoods Takeaway 6 BBQ Fillets (E589)"/>
        <s v="Home Bargain Salt &amp; Pepper Shredded (29507)"/>
        <s v="Home Bargain Plain Shredded"/>
        <s v="Farmfoods Takeaway Wasabi Chicken Tenders (E644)"/>
        <s v="Home Bargains Chicken Pakoras (52651)"/>
        <s v="Home Bargains Southern Fried Fillets (60988)"/>
        <s v="Home Bargains Hot &amp; Spicy Fillets (52650)"/>
        <s v="Farmfoods Takeaway Southern Fried Shredded Gravy (E650)"/>
        <s v="Farmfoods Takeaway Buffalo Shredded Cheese (E653)"/>
        <s v="Farmfoods Takeaway Southern Fried Tenders Gravy (E651)"/>
        <s v="Farmfoods Takeaway Tandoori Tenders Korma (E652)"/>
        <s v="Farmfoods Takeaway Chilli &amp; Lime Tenders (E671)"/>
        <s v="Home Bargains Southern Fried Popcorn (60994)"/>
        <s v="Home Bargains Crispy Fillets (67547)"/>
        <s v="Home Bargains Salt &amp; Chilli Chunks (78785)"/>
        <s v="Farmfoods Takeaway Flame Grilled Peri Peri Fillets (E711)"/>
        <s v="Farmfoods Takeaway Flame Grilled Shawarma Fillets (E710)"/>
        <s v="Farmfoods Takeaway Flame Grilled Shawarma Thighs (E712)"/>
        <s v="Farmfoods Takeaway Flame Grilled Peri Peri Thighs (E713)"/>
        <s v="Farmfoods Takeaway Crispy Tenders Fuego Chilli &amp; Lime (E732)"/>
        <s v="Farmfoods Takeaway Hot Honey Chicken Tenders (E727)"/>
        <s v="Farmfoods Takeaway Boneless Chicken Wings BBQ Jerk"/>
        <s v="Farmfoods Takeaway Boneless Chicken Wings Curry"/>
        <s v="Farmfoods Takeaway Boneless Chicken Wings Hot &amp; Spicy"/>
        <s v="Farmfoods Takeaway Boneless Chicken Wings Buffalo Hot Cheese"/>
        <s v="Farmfoods Takeaway Boneless Chicken Wings Spicy Korean"/>
        <s v="Farmfoods Takeaway Boneless Chicken Wings Bang Bang"/>
        <s v="Farmfoods Signature 2 Breaded Chicken Schnitzels"/>
        <s v="Farmfoods Signature 2 Katsu Chicken Kievs"/>
        <s v="Farmfoods Signature 2 Southern Fried Gravy Chicken Kievs"/>
        <s v="Farmfoods Signature 2 Tandoori Chicken Kievs"/>
        <s v="Home Bargains 10 Duck Spring Rolls"/>
        <s v="Goodness Me! Whole Chicken Fillets (80g)"/>
        <s v="Goodness Me! Cooked Chicken Strips (12mm)"/>
        <s v="Goodness Me! Cooked Chicken Diced (19mm)"/>
        <s v="Goodness Me! Crispy Chicken Bites (21g)"/>
        <s v="42nd Street Battered Chicken Fillet Bites (30g)"/>
        <s v="Meadowvale Battered Chicken Fillet Bites (30g)"/>
        <s v="Goodness Me! Small Crispy Chicken Fillets (40g)"/>
        <s v="Goodness Me! American Style Chicken Fillets (90g)"/>
        <s v="42nd Street Battered Chicken Breast Fillets (120g)"/>
        <s v="Caprinos Chicken Strips"/>
        <s v="BurgerS New Orleans Breaded Chopsticks (45g)"/>
        <s v="Sweet Chilli Chicken Chopsticks"/>
        <s v="Burger's Salt &amp; Chilli Breaded Chopsticks"/>
        <s v="Duck Halves Rst (260-280g)"/>
        <s v="Aldi Peri Peri Chargrilled Chicken Breast Fillets"/>
        <s v="Meadowvale Mini Chicken Fillet Bites (5g)"/>
        <s v="Meadowvale Battered Chicken Mini Fillets (40g)"/>
        <s v="Pizza Go Go Battered Chicken Fillet Bites"/>
        <s v="Meadowvale Southern Fried Chicken Fillets (150g)"/>
        <s v="Meadowvale Hot &amp; Spicy Chicken Fillets (110g)"/>
        <s v="Country Style Hot &amp; Spicy Fillets (120g)"/>
        <s v="Meadowvale Crispy Battered Chicken Fillets (120g)"/>
        <s v="Meadowvale Crispy Chicken Schnitzel (200g)"/>
        <s v="Meadowvale Crunchy Boneless Chicken Wings"/>
        <s v="Meadowvale Boneless Buffalo Wings"/>
        <s v="Pizza GoGo Breaded Strips 35-40g"/>
        <s v="Meadowvale Breaded Chicken Mini Fillets (40g)"/>
        <s v="Meadowvale Hot &amp; Spicy Chicken Mini Fillets (40g)"/>
        <s v="Meadowvale Southern Fried Chicken Mini Fillets 40g"/>
        <s v="Meadowvale The Original Southern Fried Chicken Strips (50g)"/>
        <s v="Meadowvale The Original Breaded Chicken Strips"/>
        <s v="Meadowvale Pickin' Chicken (10-20g)"/>
        <s v="Oodles Crispy Fillet Bites"/>
        <s v="Homestyle Breaded Chicken Fillets (120g)"/>
        <s v="Homestyle Hot &amp; Spicy Chicken Fillets (120g)"/>
        <s v="Homestyle Southern Fried Chicken Fillets (120g)"/>
        <s v="Homestyle Hot &amp; Spicy Chicken Strips (35g)"/>
        <s v="Homestyle Southern Fried Chicken Strips (35g)"/>
        <s v="Homestyle Breaded Chicken Strips (35g)"/>
        <s v="Homestyle Hot &amp; Spicy Chicken Bites (15g)"/>
        <s v="Homestyle Crunchy Shredded Chicken"/>
        <s v="Homestyle Salt &amp; Pepper Shredded Chicken"/>
        <s v="Homestyle Buttermilk Chicken Fillets (150g)"/>
        <s v="Homestyle Salt &amp; Chilli Shredded Chicken"/>
        <s v="Homestyle Crunchy Chicken XXL Fillet (200g)"/>
        <s v="Homestyle Peri Peri Shredded Chicken"/>
        <s v="American Ranch Salt &amp; Chilli Shredded Chicken"/>
        <s v="American Ranch Southern Fried Shredded Chicken"/>
        <s v="American Ranch Ready Salted Chicken Krisps"/>
        <s v="American Ranch Prawn Cocktail Chicken Krisps"/>
        <s v="American Ranch BBQ Chicken Krisps"/>
        <s v="American Ranch Battered Chunks"/>
        <s v="American Ranch Smoky Southern Fried Strips"/>
        <s v="American Ranch Fiery Peri Peri Strips"/>
        <s v="American Ranch Parmesan &amp; Truffle Bites"/>
        <s v="American Ranch Waffle Strips &amp; Maple Sauce"/>
        <s v="American Ranch Beer Battered Strips"/>
        <s v="American Ranch Beer Battered Chunks"/>
        <s v="Country Style Pickin Chicken (15g)"/>
        <s v="Mini Fillet Bites (4-6g) 6x1kg"/>
        <s v="Country Style Breaded Strips"/>
        <s v="Country Style Hot &amp; Spicy Strips"/>
        <s v="Country Style Southern Fried Fillets"/>
        <s v="Japanese Style Katsu Fillets 120g"/>
        <s v="Country Style Breaded Fillets"/>
        <s v="Country Style Boneless Wings"/>
        <s v="Japanese Style Katsu Tenders 40g"/>
        <s v="Japanese Style Karaage Bites"/>
        <s v="Homestyle Breaded Fillets (120g)"/>
        <s v="Homestyle Hot &amp; Spicy Fillets (120g)"/>
        <s v="Homestyle Southern Fried Fillets (120g)"/>
        <s v="Homestyle Hot &amp; Spicy Strips"/>
        <s v="Homestyle Southern Fried Strips (35g)"/>
        <s v="Homestyle Breaded Strips"/>
        <s v="Homestyle Salt &amp; Pepper Crispy Shredded"/>
        <s v="Home Bargains 16 Vegetable Spring Rolls"/>
        <s v="Home Bargains 14 Vegetable Samosa"/>
        <s v="Home Bargains 10 Onion Bhajis"/>
        <s v="Sizzling Original Chargrilled Chicken Skewers (100g)"/>
        <s v="Sizzling Original Chargrilled Chicken Boneless Thigh (120g)"/>
        <s v="Sizzling Piri Piri Chargrilled Chicken Boneless Thigh (120g)"/>
        <s v="Sizzling Shawarma Chargrilled Chicken Boneless Thigh (120g)"/>
        <s v="Sizzling Piri Piri Chargrilled Chicken Fillets (150g)"/>
        <s v="Sizzling Original Chargrilled Chicken Fillets (150g)"/>
        <s v="Meadowvale The Original Vegan Chick'n Strips (35g)"/>
      </sharedItems>
    </cacheField>
    <cacheField name="Container Fill Cases" numFmtId="0">
      <sharedItems containsSemiMixedTypes="0" containsString="0" containsNumber="1" containsInteger="1" minValue="0" maxValue="21560" count="48">
        <n v="2162"/>
        <n v="2156"/>
        <n v="1568"/>
        <n v="1927"/>
        <n v="0"/>
        <n v="1640"/>
        <n v="3200"/>
        <n v="2357"/>
        <n v="3752"/>
        <n v="2876"/>
        <n v="2464"/>
        <n v="1474"/>
        <n v="1444"/>
        <n v="2319"/>
        <n v="1159"/>
        <n v="4000"/>
        <n v="1764"/>
        <n v="3038"/>
        <n v="1973"/>
        <n v="8588"/>
        <n v="2080"/>
        <n v="2430"/>
        <n v="2016"/>
        <n v="2000"/>
        <n v="40"/>
        <n v="21560"/>
        <n v="1840"/>
        <n v="2084"/>
        <n v="4800"/>
        <n v="1820"/>
        <n v="1940"/>
        <n v="4055"/>
        <n v="3854"/>
        <n v="3446"/>
        <n v="3648"/>
        <n v="1430"/>
        <n v="2726"/>
        <n v="2912"/>
        <n v="3136"/>
        <n v="3556"/>
        <n v="3361"/>
        <n v="1625"/>
        <n v="1876"/>
        <n v="1792"/>
        <n v="1960"/>
        <n v="3360"/>
        <n v="2800"/>
        <n v="3355"/>
      </sharedItems>
    </cacheField>
    <cacheField name="Container Fill (KG)" numFmtId="0">
      <sharedItems containsSemiMixedTypes="0" containsString="0" containsNumber="1" minValue="0" maxValue="206976" count="65">
        <n v="21620"/>
        <n v="21560"/>
        <n v="15680"/>
        <n v="19270"/>
        <n v="0"/>
        <n v="16236"/>
        <n v="19077.3"/>
        <n v="16649.28"/>
        <n v="18432"/>
        <n v="13824"/>
        <n v="17203.2"/>
        <n v="16499"/>
        <n v="14407.68"/>
        <n v="15530.4"/>
        <n v="13305.6"/>
        <n v="11792"/>
        <n v="14295.6"/>
        <n v="15583.68"/>
        <n v="13560.3"/>
        <n v="39600"/>
        <n v="12700.8"/>
        <n v="14582.4"/>
        <n v="12627.2"/>
        <n v="11995.84"/>
        <n v="20697.599999999999"/>
        <n v="17176"/>
        <n v="20811.599999999999"/>
        <n v="19968"/>
        <n v="14580"/>
        <n v="20160"/>
        <n v="20000"/>
        <n v="19008"/>
        <n v="206976"/>
        <n v="18216"/>
        <n v="20006.400000000001"/>
        <n v="17248"/>
        <n v="14400"/>
        <n v="18200"/>
        <n v="19400"/>
        <n v="15571.2"/>
        <n v="15416"/>
        <n v="16220"/>
        <n v="13784"/>
        <n v="15814.5"/>
        <n v="14592"/>
        <n v="14872"/>
        <n v="13084.8"/>
        <n v="14799.36"/>
        <n v="13977.6"/>
        <n v="12042.24"/>
        <n v="13655.04"/>
        <n v="14519.52"/>
        <n v="17256"/>
        <n v="17062.5"/>
        <n v="18009.599999999999"/>
        <n v="17920"/>
        <n v="19600"/>
        <n v="16128"/>
        <n v="17230"/>
        <n v="21504"/>
        <n v="17216"/>
        <n v="19200"/>
        <n v="13440"/>
        <n v="12902.4"/>
        <n v="13084.5"/>
      </sharedItems>
    </cacheField>
    <cacheField name="Net Weight" numFmtId="0">
      <sharedItems containsSemiMixedTypes="0" containsString="0" containsNumber="1" minValue="0" maxValue="475.2" count="31">
        <n v="10"/>
        <n v="4.5"/>
        <n v="9.9"/>
        <n v="8.64"/>
        <n v="5.76"/>
        <n v="4.32"/>
        <n v="5.3760000000000003"/>
        <n v="7"/>
        <n v="3.84"/>
        <n v="5.4"/>
        <n v="8"/>
        <n v="6.72"/>
        <n v="11.7"/>
        <n v="7.2"/>
        <n v="4.8"/>
        <n v="6.4"/>
        <n v="6.08"/>
        <n v="9.6"/>
        <n v="2"/>
        <n v="10.8"/>
        <n v="6"/>
        <n v="475.2"/>
        <n v="3"/>
        <n v="4"/>
        <n v="3.9"/>
        <n v="10.4"/>
        <n v="0"/>
        <n v="10.5"/>
        <n v="5"/>
        <n v="7.68"/>
        <n v="5.38"/>
      </sharedItems>
    </cacheField>
    <cacheField name="Direct Unit Cost" numFmtId="0">
      <sharedItems containsSemiMixedTypes="0" containsString="0" containsNumber="1" containsInteger="1" minValue="2300" maxValue="8080" count="131">
        <n v="4150"/>
        <n v="3800"/>
        <n v="4000"/>
        <n v="3811"/>
        <n v="4471"/>
        <n v="4073"/>
        <n v="4461"/>
        <n v="4500"/>
        <n v="3792"/>
        <n v="4300"/>
        <n v="4586"/>
        <n v="4600"/>
        <n v="4696"/>
        <n v="4382"/>
        <n v="6917"/>
        <n v="7817"/>
        <n v="7317"/>
        <n v="4050"/>
        <n v="4047"/>
        <n v="4006"/>
        <n v="4015"/>
        <n v="3996"/>
        <n v="4075"/>
        <n v="4002"/>
        <n v="4016"/>
        <n v="2300"/>
        <n v="3750"/>
        <n v="2400"/>
        <n v="4061"/>
        <n v="4013"/>
        <n v="4024"/>
        <n v="4250"/>
        <n v="4247"/>
        <n v="4090"/>
        <n v="5000"/>
        <n v="4800"/>
        <n v="4200"/>
        <n v="5050"/>
        <n v="4710"/>
        <n v="4650"/>
        <n v="5100"/>
        <n v="5150"/>
        <n v="4190"/>
        <n v="4735"/>
        <n v="5440"/>
        <n v="4550"/>
        <n v="4350"/>
        <n v="5600"/>
        <n v="5550"/>
        <n v="5750"/>
        <n v="5700"/>
        <n v="5500"/>
        <n v="6100"/>
        <n v="6250"/>
        <n v="5360"/>
        <n v="7300"/>
        <n v="5265"/>
        <n v="5378"/>
        <n v="5650"/>
        <n v="5900"/>
        <n v="6040"/>
        <n v="7120"/>
        <n v="6507"/>
        <n v="7280"/>
        <n v="3870"/>
        <n v="4100"/>
        <n v="4103"/>
        <n v="4148"/>
        <n v="3966"/>
        <n v="3806"/>
        <n v="3694"/>
        <n v="3700"/>
        <n v="3909"/>
        <n v="4055"/>
        <n v="3950"/>
        <n v="3862"/>
        <n v="6500"/>
        <n v="7100"/>
        <n v="7000"/>
        <n v="6450"/>
        <n v="6400"/>
        <n v="3850"/>
        <n v="7500"/>
        <n v="3730"/>
        <n v="3812"/>
        <n v="3900"/>
        <n v="4328"/>
        <n v="3732"/>
        <n v="3735"/>
        <n v="3782"/>
        <n v="5200"/>
        <n v="3901"/>
        <n v="3887"/>
        <n v="4304"/>
        <n v="4025"/>
        <n v="4044"/>
        <n v="4039"/>
        <n v="4221"/>
        <n v="4195"/>
        <n v="4400"/>
        <n v="4169"/>
        <n v="4189"/>
        <n v="4023"/>
        <n v="4147"/>
        <n v="4692"/>
        <n v="4814"/>
        <n v="4340"/>
        <n v="4744"/>
        <n v="4776"/>
        <n v="4450"/>
        <n v="4580"/>
        <n v="4525"/>
        <n v="4775"/>
        <n v="4975"/>
        <n v="4030"/>
        <n v="4110"/>
        <n v="4284"/>
        <n v="4253"/>
        <n v="4232"/>
        <n v="4241"/>
        <n v="4057"/>
        <n v="2370"/>
        <n v="2420"/>
        <n v="2870"/>
        <n v="8080"/>
        <n v="6580"/>
        <n v="7080"/>
        <n v="6700"/>
        <n v="7700"/>
        <n v="5410" u="1"/>
        <n v="5340" u="1"/>
      </sharedItems>
    </cacheField>
    <cacheField name="Starting Date" numFmtId="0">
      <sharedItems containsSemiMixedTypes="0" containsNonDate="0" containsDate="1" containsString="0" minDate="2023-09-22T00:00:00" maxDate="2025-01-02T00:00:00" count="12">
        <d v="2024-08-01T00:00:00"/>
        <d v="2024-10-01T00:00:00"/>
        <d v="2025-01-01T00:00:00"/>
        <d v="2024-05-17T00:00:00"/>
        <d v="2024-08-02T00:00:00"/>
        <d v="2023-09-22T00:00:00"/>
        <d v="2024-10-31T00:00:00"/>
        <d v="2024-01-01T00:00:00"/>
        <d v="2024-11-01T00:00:00"/>
        <d v="2024-12-01T00:00:00"/>
        <d v="2024-08-08T00:00:00"/>
        <d v="2024-08-03T00:00:00" u="1"/>
      </sharedItems>
    </cacheField>
    <cacheField name="Ending Date" numFmtId="0">
      <sharedItems containsSemiMixedTypes="0" containsNonDate="0" containsDate="1" containsString="0" minDate="2024-12-12T00:00:00" maxDate="2025-04-02T00:00:00" count="7">
        <d v="2024-12-31T00:00:00"/>
        <d v="2025-03-31T00:00:00"/>
        <d v="2025-01-01T00:00:00"/>
        <d v="2025-01-31T00:00:00"/>
        <d v="2025-03-30T00:00:00"/>
        <d v="2025-04-01T00:00:00"/>
        <d v="2024-12-12T00:00:00"/>
      </sharedItems>
    </cacheField>
    <cacheField name="Unit of Measure Code" numFmtId="0">
      <sharedItems count="1">
        <s v="MT"/>
      </sharedItems>
    </cacheField>
    <cacheField name="Name" numFmtId="0">
      <sharedItems count="9">
        <s v="Spring Kitchen Co. Ltd"/>
        <s v="THAIFOODS GROUP PUBLIC CO LTD"/>
        <s v="CFP COMPANY LIMITED"/>
        <s v="CHAVEEVAN INTERNATIONAL FOODS CO., LTD"/>
        <s v="WEIFANG AEAC IMPORT &amp; EXPORT CO LTD"/>
        <s v="MARFORD INTERNATIONAL LTD_x0009_"/>
        <s v="Intersia Co. Ltd"/>
        <s v="SUNNY INTER FOOD CO., LTD"/>
        <s v="Sea Wealth Frozen Food Co.,Ltd (Fully Costed)"/>
      </sharedItems>
    </cacheField>
    <cacheField name="Packs Per Case" numFmtId="0">
      <sharedItems containsSemiMixedTypes="0" containsString="0" containsNumber="1" containsInteger="1" minValue="0" maxValue="1980" count="17">
        <n v="4"/>
        <n v="10"/>
        <n v="3"/>
        <n v="18"/>
        <n v="24"/>
        <n v="14"/>
        <n v="12"/>
        <n v="0"/>
        <n v="40"/>
        <n v="22"/>
        <n v="26"/>
        <n v="16"/>
        <n v="1"/>
        <n v="5"/>
        <n v="1980"/>
        <n v="2"/>
        <n v="6"/>
      </sharedItems>
    </cacheField>
    <cacheField name="Case Size" numFmtId="0">
      <sharedItems/>
    </cacheField>
    <cacheField name="Business Area" numFmtId="0">
      <sharedItems count="5">
        <s v="BRANDED BROCHURE"/>
        <s v="OWN LABEL"/>
        <s v="RETAIL"/>
        <s v="BRANDED NON BROCHURE"/>
        <s v="TRADING"/>
      </sharedItems>
    </cacheField>
    <cacheField name="Tariff No_" numFmtId="0">
      <sharedItems count="6">
        <s v="16023219"/>
        <s v="19059090"/>
        <s v="16023230"/>
        <s v="16023929"/>
        <s v="2004909880"/>
        <s v="210610807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ric Tavares" refreshedDate="46041.411140046293" backgroundQuery="1" createdVersion="8" refreshedVersion="8" minRefreshableVersion="3" recordCount="197" xr:uid="{00000000-000A-0000-FFFF-FFFF09000000}">
  <cacheSource type="external" connectionId="2"/>
  <cacheFields count="10">
    <cacheField name="Vendor No_" numFmtId="0">
      <sharedItems count="17">
        <s v="CH06"/>
        <s v="IN10"/>
        <s v="KO06"/>
        <s v="MA105"/>
        <s v="MA97"/>
        <s v="PE01"/>
        <s v="SK01"/>
        <s v="SP02"/>
        <s v="SP03"/>
        <s v="TH08"/>
        <s v="WE14"/>
        <s v="CH03" u="1"/>
        <s v="PL08" u="1"/>
        <s v="CH18" u="1"/>
        <s v="SW04" u="1"/>
        <s v="SU04" u="1"/>
        <s v="SI09" u="1"/>
      </sharedItems>
    </cacheField>
    <cacheField name="No_" numFmtId="0">
      <sharedItems count="224">
        <s v="B1402202"/>
        <s v="B1402213"/>
        <s v="B1402246"/>
        <s v="B1402256"/>
        <s v="B1402264"/>
        <s v="B1403401"/>
        <s v="B1403404"/>
        <s v="B1403410"/>
        <s v="C10006B"/>
        <s v="C10007B"/>
        <s v="C10027B"/>
        <s v="C10028A"/>
        <s v="C10035B"/>
        <s v="C10050A"/>
        <s v="C10075B"/>
        <s v="C10109B"/>
        <s v="C10138"/>
        <s v="C10139"/>
        <s v="C10166"/>
        <s v="C10170"/>
        <s v="C10171"/>
        <s v="C10180"/>
        <s v="C10181"/>
        <s v="C10182"/>
        <s v="C10183"/>
        <s v="C10184"/>
        <s v="C10185"/>
        <s v="C10190"/>
        <s v="C10197"/>
        <s v="C10198"/>
        <s v="C10219"/>
        <s v="C10220"/>
        <s v="C10243"/>
        <s v="G1450100"/>
        <s v="G1450200"/>
        <s v="G1450300"/>
        <s v="G1450505"/>
        <s v="G1450508A"/>
        <s v="G1450600AB"/>
        <s v="G1450700"/>
        <s v="G1452503"/>
        <s v="N1410204AB"/>
        <s v="N1411301A"/>
        <s v="N1411508"/>
        <s v="N1412301"/>
        <s v="N1412414"/>
        <s v="N1412629"/>
        <s v="N1412630"/>
        <s v="N1413801"/>
        <s v="N1413900A"/>
        <s v="N1413901A"/>
        <s v="N1414208"/>
        <s v="N1414401A"/>
        <s v="N1452001A"/>
        <s v="N1452002A"/>
        <s v="N1452003A"/>
        <s v="N1452004A"/>
        <s v="N1452005A"/>
        <s v="N1452006A"/>
        <s v="N1452007A"/>
        <s v="N1452010A"/>
        <s v="N1452011A"/>
        <s v="N1452012A"/>
        <s v="N1452013A"/>
        <s v="N1452014"/>
        <s v="N1452015"/>
        <s v="N1452017"/>
        <s v="N1452122"/>
        <s v="N1452124"/>
        <s v="N1452126"/>
        <s v="N3452001"/>
        <s v="N3452001E"/>
        <s v="N3452003E"/>
        <s v="N3452005"/>
        <s v="N3452006"/>
        <s v="N3452011E"/>
        <s v="N3452930"/>
        <s v="N1414204A"/>
        <s v="N3410106"/>
        <s v="N3411205"/>
        <s v="N3411415"/>
        <s v="N3452931"/>
        <s v="B3401311"/>
        <s v="G1452500"/>
        <s v="G3412801"/>
        <s v="N1412605"/>
        <s v="N1412624"/>
        <s v="N1412625"/>
        <s v="N1412627"/>
        <s v="N1412628"/>
        <s v="N1452121"/>
        <s v="N3412600"/>
        <s v="N3412606"/>
        <s v="N3412803"/>
        <s v="C10101"/>
        <s v="C10102"/>
        <s v="C10104"/>
        <s v="D10000"/>
        <s v="S10000"/>
        <s v="S10002"/>
        <s v="A1452201"/>
        <s v="A1452202"/>
        <s v="B1400802"/>
        <s v="B3413700"/>
        <s v="B3413701"/>
        <s v="B3413702"/>
        <s v="G3452601"/>
        <s v="C10003"/>
        <s v="C10187"/>
        <s v="C10188"/>
        <s v="C10189"/>
        <s v="C10192"/>
        <s v="C10193"/>
        <s v="C10194"/>
        <s v="C10199"/>
        <s v="C10200"/>
        <s v="C10204"/>
        <s v="C10205"/>
        <s v="C10206"/>
        <s v="C10207"/>
        <s v="C10208"/>
        <s v="C10209"/>
        <s v="C10210"/>
        <s v="C10212"/>
        <s v="C10213"/>
        <s v="C10214"/>
        <s v="C10240"/>
        <s v="C10241"/>
        <s v="C10242"/>
        <s v="G1452302"/>
        <s v="G1452600"/>
        <s v="G3412403"/>
        <s v="G3450518"/>
        <s v="N1411936"/>
        <s v="N1412106A"/>
        <s v="N1412108"/>
        <s v="N1413803A"/>
        <s v="N1414402"/>
        <s v="N1415019"/>
        <s v="N1452116T"/>
        <s v="N3411900"/>
        <s v="N3412404"/>
        <s v="N3412806"/>
        <s v="N3414301"/>
        <s v="N3452003"/>
        <s v="B1401551A"/>
        <s v="G1452800"/>
        <s v="G1452801"/>
        <s v="N1152800"/>
        <s v="N1452127"/>
        <s v="N1452128"/>
        <s v="N1452132"/>
        <s v="S1402100"/>
        <s v="S1402101"/>
        <s v="S1402102"/>
        <s v="S1402103"/>
        <s v="S1402104"/>
        <s v="S1402105"/>
        <s v="K3470300"/>
        <s v="G1450508" u="1"/>
        <s v="C10191" u="1"/>
        <s v="C10228" u="1"/>
        <s v="C10229" u="1"/>
        <s v="C10230" u="1"/>
        <s v="G1450204" u="1"/>
        <s v="G1450500A" u="1"/>
        <s v="N1410803" u="1"/>
        <s v="N1410804" u="1"/>
        <s v="N1411917A" u="1"/>
        <s v="N1452124-DNU" u="1"/>
        <s v="N1452130" u="1"/>
        <s v="N1414403" u="1"/>
        <s v="N3452008" u="1"/>
        <s v="V1411200A" u="1"/>
        <s v="G3413800" u="1"/>
        <s v="G3452604" u="1"/>
        <s v="N1452117T" u="1"/>
        <s v="N3452009" u="1"/>
        <s v="C10234" u="1"/>
        <s v="C10235" u="1"/>
        <s v="C10236" u="1"/>
        <s v="N1412110" u="1"/>
        <s v="C10237" u="1"/>
        <s v="C10238" u="1"/>
        <s v="C10239" u="1"/>
        <s v="G1452602" u="1"/>
        <s v="G1452603" u="1"/>
        <s v="N1414209" u="1"/>
        <s v="N1452118T" u="1"/>
        <s v="N1452129" u="1"/>
        <s v="N3412106" u="1"/>
        <s v="N3414500" u="1"/>
        <s v="C10215" u="1"/>
        <s v="C10216" u="1"/>
        <s v="C10217" u="1"/>
        <s v="C10218" u="1"/>
        <s v="K1570400" u="1"/>
        <s v="N1452123" u="1"/>
        <s v="N3452002" u="1"/>
        <s v="N3452004" u="1"/>
        <s v="N1414210" u="1"/>
        <s v="N1452133" u="1"/>
        <s v="C10221M" u="1"/>
        <s v="C10179" u="1"/>
        <s v="C10144" u="1"/>
        <s v="C10224M" u="1"/>
        <s v="C10172" u="1"/>
        <s v="N1452107" u="1"/>
        <s v="N1452134" u="1"/>
        <s v="N1452117" u="1"/>
        <s v="N3410225" u="1"/>
        <s v="C10227" u="1"/>
        <s v="C10142A" u="1"/>
        <s v="C10223M" u="1"/>
        <s v="C10226M" u="1"/>
        <s v="G1450500" u="1"/>
        <s v="C10203" u="1"/>
        <s v="N1452135" u="1"/>
        <s v="C10211" u="1"/>
        <s v="C10222M" u="1"/>
        <s v="N1411917" u="1"/>
        <s v="S10001" u="1"/>
        <s v="C10145" u="1"/>
        <s v="C10225M" u="1"/>
      </sharedItems>
    </cacheField>
    <cacheField name="Description" numFmtId="0">
      <sharedItems count="222">
        <s v="Meadowvale Cooked Chicken Diced (12mm)"/>
        <s v="Meadowvale Sliced Chicken Cajun (5mm)"/>
        <s v="Meadowvale Sliced Chicken Breast (5mm)"/>
        <s v="Meadowvale Sliced Chicken Tikka (5mm)"/>
        <s v="Meadowvale Cooked Chicken Strips (12mm)"/>
        <s v="Meadowvale Cooked Chicken Tikka Diced (10mm)"/>
        <s v="Meadowvale Cooked Chicken Tandoori Diced (10mm)"/>
        <s v="Hot &amp; Spicy Diced Chicken (10mm)"/>
        <s v="LA Diner Hot &amp; Spicy Chicken Fillets (E491)"/>
        <s v="LA Diner Southern Fried Chicken Fillets (E490)"/>
        <s v="LA Diner Battered Chicken Bites (E501)"/>
        <s v="LA Diner Chicken Goujons (E498)"/>
        <s v="LA Diner Hot &amp; Spicy Chicken Bites (E505)"/>
        <s v="LA Diner Southern Fried Chicken Goujons (E489)"/>
        <s v="LA Diner Battered Chicken Fillets (E492)"/>
        <s v="LA Diner Southern Fried Chicken Bites (E495)"/>
        <s v="Farmfoods Takeaway Crunchy Chicken Tenders (E514)"/>
        <s v="Farmfoods Takeaway Hot &amp; Spicy Chicken Tenders (E513)"/>
        <s v="Farmfoods Takeaway Pickin Chicken (E369)"/>
        <s v="Farmfoods Takeaway Plain Popcorn Chicken (E530)"/>
        <s v="Farmfoods Takeaway BBQ Chicken Tenders (E497)"/>
        <s v="Farmfoods Takeaway Crispy Shredded Chicken (E552)"/>
        <s v="Farmfoods Takeaway Salt &amp; Pepper Shredded Chicken (E570)"/>
        <s v="Farmfoods Takeaway Salt &amp; Chilli Shredded Chicken (E588)"/>
        <s v="Farmfoods Takeaway 12 Tandoori Chicken Tenders (E540)"/>
        <s v="Farmfoods Takeaway 12 Butter Chicken Tenders (E542)"/>
        <s v="Farmfoods Takeaway 12 Pakora Chicken Tenders (E541)"/>
        <s v="Farmfoods Takeaway 6 Zinger Fillets (E569)"/>
        <s v="Farmfoods Takeaway 6 Satay Fillets (E590)"/>
        <s v="Farmfoods Takeaway 6 BBQ Fillets (E589)"/>
        <s v="Farmfoods Takeaway Crispy Tenders Fuego Chilli &amp; Lime (E732)"/>
        <s v="Farmfoods Takeaway Hot Honey Chicken Tenders (E727)"/>
        <s v="Niche Hot &amp; Spicy Fillets"/>
        <s v="Goodness Me! Whole Chicken Fillets (80g)"/>
        <s v="Goodness Me! Cooked Chicken Strips (12mm)"/>
        <s v="Goodness Me! Cooked Chicken Diced (19mm)"/>
        <s v="42nd Street Battered Chicken Fillet Bites (30g)"/>
        <s v="Meadowvale Battered Chicken Fillet Bites (30g)"/>
        <s v="Goodness Me! Small Crispy Chicken Fillets (40g)"/>
        <s v="Goodness Me! American Style Chicken Fillets (90g)"/>
        <s v="Caprinos Chicken Strips"/>
        <s v="Meadowvale Mini Chicken Fillet Bites (5g)"/>
        <s v="Meadowvale Battered Chicken Mini Fillets (40g)"/>
        <s v="Pizza Go Go Battered Chicken Fillet Bites"/>
        <s v="Meadowvale Crispy Battered Chicken Fillets (120g)"/>
        <s v="Meadowvale Crispy Chicken Schnitzel (200g)"/>
        <s v="Meadowvale Crunchy Boneless Chicken Wings"/>
        <s v="Meadowvale Boneless Buffalo Wings"/>
        <s v="Pizza GoGo Breaded Strips 35-40g"/>
        <s v="Meadowvale Hot &amp; Spicy Chicken Mini Fillets (40g)"/>
        <s v="Meadowvale Southern Fried Chicken Mini Fillets 40g"/>
        <s v="Meadowvale The Original Breaded Chicken Strips"/>
        <s v="Meadowvale Pickin' Chicken (10-20g)"/>
        <s v="Homestyle Breaded Chicken Fillets (120g)"/>
        <s v="Homestyle Hot &amp; Spicy Chicken Fillets (120g)"/>
        <s v="Homestyle Southern Fried Chicken Fillets (120g)"/>
        <s v="Homestyle Hot &amp; Spicy Chicken Strips (35g)"/>
        <s v="Homestyle Southern Fried Chicken Strips (35g)"/>
        <s v="Homestyle Breaded Chicken Strips (35g)"/>
        <s v="Homestyle Hot &amp; Spicy Chicken Bites (15g)"/>
        <s v="Homestyle Crunchy Shredded Chicken"/>
        <s v="Homestyle Salt &amp; Pepper Shredded Chicken"/>
        <s v="Homestyle Buttermilk Chicken Fillets (150g)"/>
        <s v="Homestyle Salt &amp; Chilli Shredded Chicken"/>
        <s v="Homestyle Crunchy Chicken XXL Fillet (200g)"/>
        <s v="Homestyle Peri Peri Shredded Chicken"/>
        <s v="Homestyle Buttermilk Chicken Strips"/>
        <s v="American Ranch Ready Salted Chicken Krisps"/>
        <s v="American Ranch BBQ Chicken Krisps"/>
        <s v="American Ranch Battered Chunks"/>
        <s v="Homestyle Breaded Fillets (120g)"/>
        <s v="Homestyle Southern Fried Fillets (120g)"/>
        <s v="Homestyle Southern Fried Strips (35g)"/>
        <s v="Homestyle Breaded Strips"/>
        <s v="Homestyle Salt &amp; Pepper Crispy Shredded"/>
        <s v="Flavours of the World Salt &amp; Pepper Tenders"/>
        <s v="Meadowvale The Original Southern Fried Chicken Strips (50g)"/>
        <s v="Country Style Pickin Chicken (15g)"/>
        <s v="Country Style Breaded Strips"/>
        <s v="Country Style Hot &amp; Spicy Strips"/>
        <s v="Flavours of the World Tikka Massala Tenders"/>
        <s v="Hippo Tex Mex Prime Wings"/>
        <s v="Caprinos Hot &amp; Spicy Wings"/>
        <s v="Hot &amp; Spicy Mid &amp; Prime Wings"/>
        <s v="Pizza Go Go Crispy Hot Wings"/>
        <s v="Meadowvale Hot &amp; Spicy Coated Chicken Wings"/>
        <s v="Country Style Hot &amp; Spicy Crispy Wings"/>
        <s v="Meadowvale Crunchy Chicken Wings"/>
        <s v="American Ranch Crunchy Chicken Wings"/>
        <s v="Takeaway Hot &amp; Spicy Chicken Wings"/>
        <s v="Country Style Hot &amp; Spicy Mid &amp; Prime Wings"/>
        <s v="Country Style Breaded Crispy Wings"/>
        <s v="Farmfoods Easy Cook Vegetable Spring Rolls (L027)"/>
        <s v="Easy Cook Duck Spring Rolls (L028)"/>
        <s v="Easy Cook Vegetable Samosas (L066)"/>
        <s v="Home Bargains 10 Duck Spring Rolls"/>
        <s v="Home Bargains 16 Vegetable Spring Rolls"/>
        <s v="Home Bargains 10 Onion Bhajis"/>
        <s v="Farmfoods Carvery Roast Chicken Joint (E637)"/>
        <s v="Farmfoods Carvery Stuffed Chicken Joint (E638)"/>
        <s v="Meadowvale Cooked Chicken Breast 255-312g/9-11oz"/>
        <s v="Party Food Plain Mini Skewers (15g)"/>
        <s v="Party Food Satay Mini Skewers (15g)"/>
        <s v="Party Food Tikka Mini Skewers (15g)"/>
        <s v="Burger'S Sweet BBQ Prime Chicken Wings"/>
        <s v="Home Bargains Battered Chicken Breast Chunks (28497)"/>
        <s v="Farmfoods Takeaway Saucy Shredded Curry Chicken (E563)"/>
        <s v="Farmfoods Takeaway Saucy Shredded Hot &amp; Spicy (E564)"/>
        <s v="Farmfoods Takeaway Saucy Shredded Spicy BBQ (E565)"/>
        <s v="Home Bargains Southern Fried Chicken Breast Strips (24184)"/>
        <s v="Home Bargains Battered Chicken Breast Strips (24185)"/>
        <s v="Home Bargains Hot &amp; Spicy Chicken Breast Strips (24198)"/>
        <s v="Home Bargain Salt &amp; Pepper Shredded (29507)"/>
        <s v="Home Bargain Plain Shredded"/>
        <s v="Home Bargains Chicken Pakoras (52651)"/>
        <s v="Home Bargains Southern Fried Fillets (60988)"/>
        <s v="Home Bargains Hot &amp; Spicy Fillets (60992)"/>
        <s v="Farmfoods Takeaway Southern Fried Shredded Gravy (E650)"/>
        <s v="Farmfoods Takeaway Buffalo Shredded Cheese (E653)"/>
        <s v="Farmfoods Takeaway Southern Fried Tenders Gravy (E651)"/>
        <s v="Farmfoods Takeaway Tandoori Tenders Korma (E652)"/>
        <s v="Home Bargains Southern Fried Popcorn (60994)"/>
        <s v="Home Bargains Crispy Fillets (67547)"/>
        <s v="Home Bargains Salt &amp; Chilli Chunks (78785)"/>
        <s v="Home Bargains Hot Honey Chicken Breast Strips (73017)"/>
        <s v="Home Bargains BBQ Chicken Tenders (81463)"/>
        <s v="Home Bargains Katsu Chicken Tenders (81461)"/>
        <s v="42nd Street Battered Chicken Breast Fillets (120g)"/>
        <s v="Burger'S New Orleans Breaded Chopsticks (45g)"/>
        <s v="Burger'S Sweet Chilli Chicken Chopsticks"/>
        <s v="Country Style Southern Fried Fillets (120g)"/>
        <s v="Meadowvale Hot &amp; Spicy Chicken Fillets (110g)"/>
        <s v="Country Style Hot &amp; Spicy Fillets (120g)"/>
        <s v="Meadowvale Breaded Chicken Mini Fillets (40g)"/>
        <s v="Oodles Crispy Fillet Bites"/>
        <s v="Home Bargains Chicken Nuggets"/>
        <s v="American Ranch Crispy Shredded Chicken"/>
        <s v="Country Style Southern Fried Fillets"/>
        <s v="Country Style Breaded Fillets"/>
        <s v="Country Style Boneless Wings"/>
        <s v="Japanese Style Katsu Tenders 40g"/>
        <s v="Meadowvale Steamed Cooked Fillets (150-230g)"/>
        <s v="Aldi Peri Peri Chargrilled Chicken Breast Fillets"/>
        <s v="Aldi Mixed Chargrilled Peri Peri Breast &amp; Thigh"/>
        <s v="American Ranch Smoky Southern Fried Strips"/>
        <s v="American Ranch Fiery Peri Peri Strips"/>
        <s v="American Ranch Parmesan &amp; Truffle Bites"/>
        <s v="Sizzling Original Chargrilled Chicken Skewers (100g)"/>
        <s v="Sizzling Original Chargrilled Chicken Boneless Thigh (120g)"/>
        <s v="Sizzling Piri Piri Chargrilled Chicken Boneless Thigh (120g)"/>
        <s v="Sizzling Shawarma Chargrilled Chicken Boneless Thigh (120g)"/>
        <s v="Sizzling Piri Piri Chargrilled Chicken Fillets (150g)"/>
        <s v="Sizzling Original Chargrilled Chicken Fillets (150g)"/>
        <s v="Duck Halves Rst (260-280g)"/>
        <s v="Flavours of the World Tikka Masala Tenders" u="1"/>
        <s v="Home Bargains Hot &amp; Spicy Fillets (52650)" u="1"/>
        <s v="Home Bargains BBQ Chicken Tenders (XXXXX)" u="1"/>
        <s v="Home Bargains Katsu Chicken Tenders (XXXXX)" u="1"/>
        <s v="Farmfoods Takeaway 6 Tandoori Fillets" u="1"/>
        <s v="Farmfoods Signature 2 Katsu Chicken Kievs" u="1"/>
        <s v="Farmfoods Signature 2 Southern Fried Gravy Chicken Kievs" u="1"/>
        <s v="Farmfoods Signature 2 Tandoori Chicken Kievs" u="1"/>
        <s v="STRIPS CKD 5 X 2KG PLAIN/BAG" u="1"/>
        <s v="Goodness Me! Crispy Chicken Bites (21g)" u="1"/>
        <s v="16 Meadowvale Tandoori Chicken Kiev (190g)" u="1"/>
        <s v="16 Meadowvale Katsu Chicken Kiev (190g)" u="1"/>
        <s v="Meadowvale Southern Fried Chicken Fillets (150g)" u="1"/>
        <s v="American Ranch BBQ Chicken Krisps(Do Not Use)" u="1"/>
        <s v="American Ranch Tandoori Chicken Fillet" u="1"/>
        <s v="Oodles Katsu Panko Fillets" u="1"/>
        <s v="Homestyle Crunchy Chicken Strips (45g)" u="1"/>
        <s v="Meadowvale The Original Vegan Chick'n Strips (35g)" u="1"/>
        <s v="Burger'S Salt &amp; Chilli Breaded Chopsticks" u="1"/>
        <s v="Burger'S Brochette Boneless Satay Halal" u="1"/>
        <s v="American Ranch Southern Fried Shredded Chicken" u="1"/>
        <s v="Homestyle Crunchy Chicken Fillets (150g)" u="1"/>
        <s v="Home Bargains Teriyaki Skewers (23306)" u="1"/>
        <s v="Home Bargains Salt &amp; Chilli Skewers (23314)" u="1"/>
        <s v="Home Bargains Tandoori Skewers (23323)" u="1"/>
        <s v="Tandoori Chicken Fillets" u="1"/>
        <s v="Home Bargains Sweet Chilli Saucy Thigh Bites (23329)" u="1"/>
        <s v="Home Bargains BBQ Saucy Thigh Bites (23333)" u="1"/>
        <s v="Home Bargains Sticky Teriyaki Shredded Chicken (23335)" u="1"/>
        <s v="Burger'S Spicy Red Hot Fillets (120g)" u="1"/>
        <s v="Burger'S Smokey Breaded Fillets (120g)" u="1"/>
        <s v="Meadowvale The Original Breaded Chicken Fillets (125g)" u="1"/>
        <s v="American Ranch Salt &amp; Chilli Shredded Chicken" u="1"/>
        <s v="American Ranch Garlic &amp; Herb Shredded Chicken" u="1"/>
        <s v="Japanese Style Katsu Fillets 120g" u="1"/>
        <s v="Japanese Style Karaage Bites" u="1"/>
        <s v="Farmfoods Takeaway Flame Grilled Peri Peri Fillets (E711)" u="1"/>
        <s v="Farmfoods Takeaway Flame Grilled Shawarma Fillets (E710)" u="1"/>
        <s v="Farmfoods Takeaway Flame Grilled Shawarma Thighs (E712)" u="1"/>
        <s v="Farmfoods Takeaway Flame Grilled Peri Peri Thighs (E713)" u="1"/>
        <s v="Cooked Confit Duck Legs 340g x 30" u="1"/>
        <s v="American Ranch Prawn Cocktail Chicken Krisps" u="1"/>
        <s v="Homestyle Hot &amp; Spicy Fillets (120g)" u="1"/>
        <s v="Homestyle Hot &amp; Spicy Strips" u="1"/>
        <s v="Burger'S Hot &amp; Spicy Fillets (120g)" u="1"/>
        <s v="Burger'S New Orleans Breaded Fillets (120g)" u="1"/>
        <s v="Sweet Chilli Chicken Chopsticks" u="1"/>
        <s v="Meadowvale The Original Battered Chicken Fillet Bites (30g)" u="1"/>
        <s v="Farmfoods Takeaway Boneless Chicken Wings Spicy Korean" u="1"/>
        <s v="American Ranch Waffle Strips &amp; Maple Sauce" u="1"/>
        <s v="Home Bargains 14 Vegetable Samosa" u="1"/>
        <s v="Farmfoods Takeaway Chilli &amp; Lime Tenders (E671)" u="1"/>
        <s v="BurgerS New Orleans Breaded Chopsticks (45g)" u="1"/>
        <s v="Farmfoods Takeaway Boneless Chicken Wings Buffalo Hot Cheese" u="1"/>
        <s v="Farmfoods Takeaway Boneless Chicken Wings Bang Bang" u="1"/>
        <s v="Farmfoods Takeaway Boneless Chicken Wings Curry" u="1"/>
        <s v="Farmfoods Takeaway Boneless Chicken Wings Hot &amp; Spicy" u="1"/>
        <s v="Heron Duck Spring Rolls" u="1"/>
        <s v="Farmfoods Takeaway Boneless Chicken Wings BBQ Jerk" u="1"/>
        <s v="Tikka Strips 320g" u="1"/>
        <s v="Farmfoods Takeaway Wasabi Chicken Tenders (E644)" u="1"/>
        <s v="B&amp;M Plain Chicken Strips 320g" u="1"/>
        <s v="American Ranch Beer Battered Strips" u="1"/>
        <s v="American Ranch Beer Battered Chunks" u="1"/>
        <s v="Heron Garlic &amp; Herb Bites" u="1"/>
        <s v="Mini Fillet Bites (4-6g) 6x1kg" u="1"/>
        <s v="Heron Salt &amp; Chilli Bites" u="1"/>
        <s v="Farmfoods Signature 2 Breaded Chicken Schnitzels" u="1"/>
      </sharedItems>
    </cacheField>
    <cacheField name="Container Fill Cases" numFmtId="0">
      <sharedItems containsSemiMixedTypes="0" containsString="0" containsNumber="1" containsInteger="1" minValue="0" maxValue="21560" count="66">
        <n v="2156"/>
        <n v="1568"/>
        <n v="1927"/>
        <n v="2357"/>
        <n v="2876"/>
        <n v="2464"/>
        <n v="1444"/>
        <n v="2319"/>
        <n v="8588"/>
        <n v="5400"/>
        <n v="4800"/>
        <n v="4055"/>
        <n v="3854"/>
        <n v="3448"/>
        <n v="3446"/>
        <n v="3648"/>
        <n v="2912"/>
        <n v="3360"/>
        <n v="1940"/>
        <n v="1830"/>
        <n v="0"/>
        <n v="3200"/>
        <n v="2800"/>
        <n v="3700"/>
        <n v="1640"/>
        <n v="1159"/>
        <n v="1960"/>
        <n v="1856"/>
        <n v="2320"/>
        <n v="1604"/>
        <n v="2080"/>
        <n v="2430"/>
        <n v="2016"/>
        <n v="1955"/>
        <n v="1840"/>
        <n v="2084"/>
        <n v="1820"/>
        <n v="2436"/>
        <n v="1625"/>
        <n v="1792"/>
        <n v="2162"/>
        <n v="1710"/>
        <n v="40"/>
        <n v="3136"/>
        <n v="3556"/>
        <n v="3355"/>
        <n v="2000"/>
        <n v="1973" u="1"/>
        <n v="6240" u="1"/>
        <n v="3306" u="1"/>
        <n v="1764" u="1"/>
        <n v="3245" u="1"/>
        <n v="3038" u="1"/>
        <n v="1876" u="1"/>
        <n v="1380" u="1"/>
        <n v="1104" u="1"/>
        <n v="2413" u="1"/>
        <n v="1746" u="1"/>
        <n v="1235" u="1"/>
        <n v="2726" u="1"/>
        <n v="21560" u="1"/>
        <n v="3752" u="1"/>
        <n v="1474" u="1"/>
        <n v="3361" u="1"/>
        <n v="1430" u="1"/>
        <n v="4000" u="1"/>
      </sharedItems>
    </cacheField>
    <cacheField name="Container Fill (KG)" numFmtId="0">
      <sharedItems containsSemiMixedTypes="0" containsString="0" containsNumber="1" minValue="0" maxValue="206976" count="91">
        <n v="21560"/>
        <n v="15680"/>
        <n v="19270"/>
        <n v="19077.3"/>
        <n v="16649.28"/>
        <n v="16499"/>
        <n v="15530.4"/>
        <n v="19958.400000000001"/>
        <n v="14295.6"/>
        <n v="15583.68"/>
        <n v="15839.04"/>
        <n v="20697.599999999999"/>
        <n v="17176"/>
        <n v="20811.599999999999"/>
        <n v="17248"/>
        <n v="16200"/>
        <n v="14400"/>
        <n v="15571.2"/>
        <n v="15416"/>
        <n v="16220"/>
        <n v="13792"/>
        <n v="13784"/>
        <n v="15814.5"/>
        <n v="14592"/>
        <n v="14799.36"/>
        <n v="13977.6"/>
        <n v="16128"/>
        <n v="17230"/>
        <n v="19400"/>
        <n v="18300"/>
        <n v="0"/>
        <n v="18432"/>
        <n v="13824"/>
        <n v="17203.2"/>
        <n v="21504"/>
        <n v="19200"/>
        <n v="16650"/>
        <n v="16236"/>
        <n v="13560.3"/>
        <n v="14112"/>
        <n v="18374.400000000001"/>
        <n v="16240"/>
        <n v="16681.599999999999"/>
        <n v="19968"/>
        <n v="14580"/>
        <n v="20160"/>
        <n v="18768"/>
        <n v="18216"/>
        <n v="20006.400000000001"/>
        <n v="18200"/>
        <n v="19404"/>
        <n v="11692.8"/>
        <n v="17062.5"/>
        <n v="17920"/>
        <n v="21620"/>
        <n v="9849.6"/>
        <n v="19008"/>
        <n v="12042.24"/>
        <n v="13655.04"/>
        <n v="13440"/>
        <n v="12902.4"/>
        <n v="13084.5"/>
        <n v="20000"/>
        <n v="11995.84" u="1"/>
        <n v="18969.599999999999" u="1"/>
        <n v="9676.7999999999993" u="1"/>
        <n v="16530" u="1"/>
        <n v="12700.8" u="1"/>
        <n v="17036.25" u="1"/>
        <n v="14582.4" u="1"/>
        <n v="18760" u="1"/>
        <n v="12585.6" u="1"/>
        <n v="11658.24" u="1"/>
        <n v="11582.4" u="1"/>
        <n v="18009.599999999999" u="1"/>
        <n v="19600" u="1"/>
        <n v="20400" u="1"/>
        <n v="15923.52" u="1"/>
        <n v="13041.6" u="1"/>
        <n v="13305.6" u="1"/>
        <n v="14407.68" u="1"/>
        <n v="14872" u="1"/>
        <n v="11792" u="1"/>
        <n v="39600" u="1"/>
        <n v="12627.2" u="1"/>
        <n v="14519.52" u="1"/>
        <n v="206976" u="1"/>
        <n v="17256" u="1"/>
        <n v="17216" u="1"/>
        <n v="13084.8" u="1"/>
        <n v="10348.799999999999" u="1"/>
      </sharedItems>
    </cacheField>
    <cacheField name="Net Weight" numFmtId="0">
      <sharedItems containsSemiMixedTypes="0" containsString="0" containsNumber="1" minValue="0" maxValue="475.2" count="40">
        <n v="10"/>
        <n v="9.9"/>
        <n v="8.64"/>
        <n v="7"/>
        <n v="5.4"/>
        <n v="8.1"/>
        <n v="6.72"/>
        <n v="9.6"/>
        <n v="2"/>
        <n v="10.8"/>
        <n v="8"/>
        <n v="3"/>
        <n v="3.84"/>
        <n v="4"/>
        <n v="3.9"/>
        <n v="4.8"/>
        <n v="5"/>
        <n v="9.8000000000000007"/>
        <n v="5.76"/>
        <n v="4.32"/>
        <n v="5.3760000000000003"/>
        <n v="7.68"/>
        <n v="6"/>
        <n v="7.2"/>
        <n v="11.36"/>
        <n v="4.5"/>
        <n v="11.7"/>
        <n v="10.4"/>
        <n v="10.5"/>
        <n v="475.2"/>
        <n v="6.08" u="1"/>
        <n v="3.04" u="1"/>
        <n v="2.88" u="1"/>
        <n v="5.25" u="1"/>
        <n v="9.1199999999999992" u="1"/>
        <n v="10.56" u="1"/>
        <n v="10.199999999999999" u="1"/>
        <n v="0" u="1"/>
        <n v="5.38" u="1"/>
        <n v="6.4" u="1"/>
      </sharedItems>
    </cacheField>
    <cacheField name="Starting Date" numFmtId="0">
      <sharedItems containsSemiMixedTypes="0" containsNonDate="0" containsDate="1" containsString="0" minDate="2024-01-01T00:00:00" maxDate="2026-01-15T00:00:00" count="22">
        <d v="2026-01-01T00:00:00"/>
        <d v="2025-12-31T00:00:00"/>
        <d v="2025-12-01T00:00:00"/>
        <d v="2026-01-05T00:00:00"/>
        <d v="2026-01-14T00:00:00"/>
        <d v="2025-09-01T00:00:00"/>
        <d v="2025-01-01T00:00:00" u="1"/>
        <d v="2025-04-01T00:00:00" u="1"/>
        <d v="2025-07-01T00:00:00" u="1"/>
        <d v="2025-05-19T00:00:00" u="1"/>
        <d v="2025-02-01T00:00:00" u="1"/>
        <d v="2024-01-01T00:00:00" u="1"/>
        <d v="2024-07-01T00:00:00" u="1"/>
        <d v="2025-10-01T00:00:00" u="1"/>
        <d v="2025-01-31T00:00:00" u="1"/>
        <d v="2024-08-08T00:00:00" u="1"/>
        <d v="2024-08-01T00:00:00" u="1"/>
        <d v="2024-05-17T00:00:00" u="1"/>
        <d v="2024-08-02T00:00:00" u="1"/>
        <d v="2024-10-31T00:00:00" u="1"/>
        <d v="2024-12-01T00:00:00" u="1"/>
        <d v="2024-10-01T00:00:00" u="1"/>
      </sharedItems>
    </cacheField>
    <cacheField name="Ending Date" numFmtId="0">
      <sharedItems containsSemiMixedTypes="0" containsNonDate="0" containsDate="1" containsString="0" minDate="2024-12-31T00:00:00" maxDate="2027-01-01T00:00:00" count="17">
        <d v="2026-03-31T00:00:00"/>
        <d v="2026-06-30T00:00:00"/>
        <d v="2026-12-13T00:00:00"/>
        <d v="2026-12-31T00:00:00"/>
        <d v="2026-06-01T00:00:00"/>
        <d v="2025-12-31T00:00:00" u="1"/>
        <d v="2025-09-30T00:00:00" u="1"/>
        <d v="2025-12-30T00:00:00" u="1"/>
        <d v="2025-12-12T00:00:00" u="1"/>
        <d v="2025-06-30T00:00:00" u="1"/>
        <d v="2025-03-31T00:00:00" u="1"/>
        <d v="2025-03-30T00:00:00" u="1"/>
        <d v="2025-06-01T00:00:00" u="1"/>
        <d v="2025-01-01T00:00:00" u="1"/>
        <d v="2025-01-31T00:00:00" u="1"/>
        <d v="2025-04-01T00:00:00" u="1"/>
        <d v="2024-12-31T00:00:00" u="1"/>
      </sharedItems>
    </cacheField>
    <cacheField name="Packs Per Case" numFmtId="0">
      <sharedItems containsSemiMixedTypes="0" containsString="0" containsNumber="1" containsInteger="1" minValue="0" maxValue="1980" count="20">
        <n v="4"/>
        <n v="10"/>
        <n v="18"/>
        <n v="14"/>
        <n v="12"/>
        <n v="22"/>
        <n v="1"/>
        <n v="5"/>
        <n v="3"/>
        <n v="2"/>
        <n v="24"/>
        <n v="26"/>
        <n v="20"/>
        <n v="1980"/>
        <n v="37"/>
        <n v="16" u="1"/>
        <n v="0" u="1"/>
        <n v="30" u="1"/>
        <n v="40" u="1"/>
        <n v="6" u="1"/>
      </sharedItems>
    </cacheField>
    <cacheField name="Direct Unit Cost" numFmtId="0">
      <sharedItems containsSemiMixedTypes="0" containsString="0" containsNumber="1" minValue="0" maxValue="8450" count="281">
        <n v="4111"/>
        <n v="4773"/>
        <n v="4476"/>
        <n v="4861"/>
        <n v="4092"/>
        <n v="4917"/>
        <n v="5052"/>
        <n v="4682"/>
        <n v="4109"/>
        <n v="4090"/>
        <n v="4065"/>
        <n v="4081"/>
        <n v="4173"/>
        <n v="4069"/>
        <n v="4066"/>
        <n v="4097"/>
        <n v="4138"/>
        <n v="4379"/>
        <n v="4174"/>
        <n v="4259"/>
        <n v="4252"/>
        <n v="4285"/>
        <n v="4313"/>
        <n v="5162"/>
        <n v="4825"/>
        <n v="4727"/>
        <n v="4253"/>
        <n v="4908"/>
        <n v="4865"/>
        <n v="5315"/>
        <n v="5428"/>
        <n v="4650"/>
        <n v="4403"/>
        <n v="4368"/>
        <n v="4448"/>
        <n v="3856"/>
        <n v="3744"/>
        <n v="4034"/>
        <n v="4180"/>
        <n v="3922"/>
        <n v="3780"/>
        <n v="3862"/>
        <n v="3815"/>
        <n v="3791"/>
        <n v="4550"/>
        <n v="4750"/>
        <n v="3961"/>
        <n v="3949"/>
        <n v="4378"/>
        <n v="4075"/>
        <n v="4135"/>
        <n v="4172"/>
        <n v="4356"/>
        <n v="4401"/>
        <n v="4306"/>
        <n v="4406"/>
        <n v="4107"/>
        <n v="4283"/>
        <n v="4819"/>
        <n v="4948"/>
        <n v="4390"/>
        <n v="4871"/>
        <n v="4657"/>
        <n v="4910"/>
        <n v="4400"/>
        <n v="4525"/>
        <n v="4975"/>
        <n v="4080"/>
        <n v="4260"/>
        <n v="4122"/>
        <n v="4351"/>
        <n v="4191"/>
        <n v="4900"/>
        <n v="4885"/>
        <n v="3850"/>
        <n v="4250"/>
        <n v="4200"/>
        <n v="4100"/>
        <n v="4300"/>
        <n v="4670"/>
        <n v="34.799999999999997"/>
        <n v="35"/>
        <n v="33.4"/>
        <n v="33.6"/>
        <n v="16.95"/>
        <n v="17.05"/>
        <n v="32.799999999999997"/>
        <n v="33"/>
        <n v="10.14"/>
        <n v="10.199999999999999"/>
        <n v="33.799999999999997"/>
        <n v="34"/>
        <n v="16.7"/>
        <n v="16.8"/>
        <n v="17.8"/>
        <n v="17.899999999999999"/>
        <n v="33.222000000000001"/>
        <n v="33.417999999999999"/>
        <n v="33.9"/>
        <n v="34.1"/>
        <n v="2320"/>
        <n v="3820"/>
        <n v="2370"/>
        <n v="2820"/>
        <n v="42.34"/>
        <n v="41.19"/>
        <n v="49.75"/>
        <n v="7200"/>
        <n v="8100"/>
        <n v="7900"/>
        <n v="4000"/>
        <n v="4792"/>
        <n v="4800"/>
        <n v="4050"/>
        <n v="5150"/>
        <n v="5000"/>
        <n v="4600"/>
        <n v="4350"/>
        <n v="5550"/>
        <n v="5700"/>
        <n v="6250"/>
        <n v="3825"/>
        <n v="6500"/>
        <n v="7000"/>
        <n v="3782"/>
        <n v="4500"/>
        <n v="3750"/>
        <n v="2900"/>
        <n v="4195"/>
        <n v="7500"/>
        <n v="8450"/>
        <n v="7980"/>
        <n v="6680"/>
        <n v="7080"/>
        <n v="6980"/>
        <n v="2250"/>
        <n v="3700"/>
        <n v="2350"/>
        <n v="3900"/>
        <n v="2800"/>
        <n v="4373" u="1"/>
        <n v="3813" u="1"/>
        <n v="7120" u="1"/>
        <n v="6507" u="1"/>
        <n v="7280" u="1"/>
        <n v="3959" u="1"/>
        <n v="4024" u="1"/>
        <n v="4105" u="1"/>
        <n v="6840" u="1"/>
        <n v="4418" u="1"/>
        <n v="4256" u="1"/>
        <n v="4057" u="1"/>
        <n v="4233" u="1"/>
        <n v="4769" u="1"/>
        <n v="4898" u="1"/>
        <n v="4821" u="1"/>
        <n v="4860" u="1"/>
        <n v="5325" u="1"/>
        <n v="6459" u="1"/>
        <n v="3950" u="1"/>
        <n v="5750" u="1"/>
        <n v="0" u="1"/>
        <n v="6800" u="1"/>
        <n v="3000" u="1"/>
        <n v="6967" u="1"/>
        <n v="7867" u="1"/>
        <n v="7367" u="1"/>
        <n v="5480" u="1"/>
        <n v="5100" u="1"/>
        <n v="4850" u="1"/>
        <n v="4950" u="1"/>
        <n v="7300" u="1"/>
        <n v="3450" u="1"/>
        <n v="4875" u="1"/>
        <n v="5125" u="1"/>
        <n v="4434" u="1"/>
        <n v="4382" u="1"/>
        <n v="4391" u="1"/>
        <n v="4207" u="1"/>
        <n v="3800" u="1"/>
        <n v="5230" u="1"/>
        <n v="6400" u="1"/>
        <n v="6700" u="1"/>
        <n v="8080" u="1"/>
        <n v="2300" u="1"/>
        <n v="2400" u="1"/>
        <n v="4006" u="1"/>
        <n v="4340" u="1"/>
        <n v="3735" u="1"/>
        <n v="5070" u="1"/>
        <n v="4461" u="1"/>
        <n v="4190" u="1"/>
        <n v="4241" u="1"/>
        <n v="5360" u="1"/>
        <n v="7700" u="1"/>
        <n v="4225" u="1"/>
        <n v="4025" u="1"/>
        <n v="4076" u="1"/>
        <n v="5650" u="1"/>
        <n v="7142" u="1"/>
        <n v="3966" u="1"/>
        <n v="4735" u="1"/>
        <n v="4068" u="1"/>
        <n v="4193" u="1"/>
        <n v="4244" u="1"/>
        <n v="5127" u="1"/>
        <n v="5500" u="1"/>
        <n v="3730" u="1"/>
        <n v="4110" u="1"/>
        <n v="4044" u="1"/>
        <n v="4247" u="1"/>
        <n v="7317" u="1"/>
        <n v="4148" u="1"/>
        <n v="4776" u="1"/>
        <n v="5200" u="1"/>
        <n v="3792" u="1"/>
        <n v="4607" u="1"/>
        <n v="4055" u="1"/>
        <n v="3996" u="1"/>
        <n v="4047" u="1"/>
        <n v="4744" u="1"/>
        <n v="4473" u="1"/>
        <n v="4304" u="1"/>
        <n v="5050" u="1"/>
        <n v="4039" u="1"/>
        <n v="3870" u="1"/>
        <n v="4814" u="1"/>
        <n v="4221" u="1"/>
        <n v="3811" u="1"/>
        <n v="4023" u="1"/>
        <n v="4696" u="1"/>
        <n v="4103" u="1"/>
        <n v="4015" u="1"/>
        <n v="7817" u="1"/>
        <n v="4189" u="1"/>
        <n v="6580" u="1"/>
        <n v="4275" u="1"/>
        <n v="5378" u="1"/>
        <n v="3806" u="1"/>
        <n v="4061" u="1"/>
        <n v="4450" u="1"/>
        <n v="4230" u="1"/>
        <n v="4002" u="1"/>
        <n v="4147" u="1"/>
        <n v="4775" u="1"/>
        <n v="4284" u="1"/>
        <n v="4692" u="1"/>
        <n v="4150" u="1"/>
        <n v="4013" u="1"/>
        <n v="7542" u="1"/>
        <n v="4169" u="1"/>
        <n v="3887" u="1"/>
        <n v="2870" u="1"/>
        <n v="6917" u="1"/>
        <n v="5900" u="1"/>
        <n v="4188" u="1"/>
        <n v="4341" u="1"/>
        <n v="3812" u="1"/>
        <n v="4580" u="1"/>
        <n v="4016" u="1"/>
        <n v="3694" u="1"/>
        <n v="4140" u="1"/>
        <n v="6040" u="1"/>
        <n v="4328" u="1"/>
        <n v="5600" u="1"/>
        <n v="4143" u="1"/>
        <n v="4771" u="1"/>
        <n v="4586" u="1"/>
        <n v="4790" u="1"/>
        <n v="3909" u="1"/>
        <n v="5265" u="1"/>
        <n v="3901" u="1"/>
        <n v="4232" u="1"/>
        <n v="4046" u="1"/>
        <n v="4471" u="1"/>
        <n v="6100" u="1"/>
        <n v="4030" u="1"/>
        <n v="4710" u="1"/>
        <n v="5440" u="1"/>
        <n v="4073" u="1"/>
        <n v="2420" u="1"/>
      </sharedItems>
    </cacheField>
  </cacheFields>
  <extLst>
    <ext xmlns:x14="http://schemas.microsoft.com/office/spreadsheetml/2009/9/main" uri="{725AE2AE-9491-48be-B2B4-4EB974FC3084}">
      <x14:pivotCacheDefinition pivotCacheId="14714451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3">
  <r>
    <x v="0"/>
    <x v="0"/>
    <x v="0"/>
    <x v="0"/>
    <x v="0"/>
    <x v="0"/>
    <x v="0"/>
    <x v="0"/>
    <x v="0"/>
    <x v="0"/>
    <x v="0"/>
    <x v="0"/>
    <s v="4 x 2.5kg"/>
    <x v="0"/>
    <x v="0"/>
  </r>
  <r>
    <x v="1"/>
    <x v="0"/>
    <x v="0"/>
    <x v="0"/>
    <x v="0"/>
    <x v="0"/>
    <x v="1"/>
    <x v="1"/>
    <x v="0"/>
    <x v="0"/>
    <x v="1"/>
    <x v="0"/>
    <s v="4 x 2.5kg"/>
    <x v="0"/>
    <x v="0"/>
  </r>
  <r>
    <x v="1"/>
    <x v="0"/>
    <x v="0"/>
    <x v="0"/>
    <x v="0"/>
    <x v="0"/>
    <x v="2"/>
    <x v="2"/>
    <x v="1"/>
    <x v="0"/>
    <x v="1"/>
    <x v="0"/>
    <s v="4 x 2.5kg"/>
    <x v="0"/>
    <x v="0"/>
  </r>
  <r>
    <x v="2"/>
    <x v="1"/>
    <x v="1"/>
    <x v="1"/>
    <x v="1"/>
    <x v="0"/>
    <x v="3"/>
    <x v="0"/>
    <x v="0"/>
    <x v="0"/>
    <x v="2"/>
    <x v="0"/>
    <s v="4 x 2.5kg"/>
    <x v="0"/>
    <x v="0"/>
  </r>
  <r>
    <x v="2"/>
    <x v="2"/>
    <x v="2"/>
    <x v="2"/>
    <x v="2"/>
    <x v="0"/>
    <x v="4"/>
    <x v="0"/>
    <x v="0"/>
    <x v="0"/>
    <x v="2"/>
    <x v="1"/>
    <s v="10 x 1kg"/>
    <x v="0"/>
    <x v="0"/>
  </r>
  <r>
    <x v="2"/>
    <x v="3"/>
    <x v="3"/>
    <x v="2"/>
    <x v="2"/>
    <x v="0"/>
    <x v="5"/>
    <x v="0"/>
    <x v="0"/>
    <x v="0"/>
    <x v="2"/>
    <x v="1"/>
    <s v="10 x 1kg"/>
    <x v="0"/>
    <x v="0"/>
  </r>
  <r>
    <x v="2"/>
    <x v="4"/>
    <x v="4"/>
    <x v="2"/>
    <x v="2"/>
    <x v="0"/>
    <x v="6"/>
    <x v="0"/>
    <x v="0"/>
    <x v="0"/>
    <x v="2"/>
    <x v="1"/>
    <s v="10 x 1kg"/>
    <x v="0"/>
    <x v="0"/>
  </r>
  <r>
    <x v="0"/>
    <x v="4"/>
    <x v="4"/>
    <x v="2"/>
    <x v="2"/>
    <x v="0"/>
    <x v="7"/>
    <x v="0"/>
    <x v="0"/>
    <x v="0"/>
    <x v="0"/>
    <x v="1"/>
    <s v="10 x 1kg"/>
    <x v="0"/>
    <x v="0"/>
  </r>
  <r>
    <x v="2"/>
    <x v="5"/>
    <x v="5"/>
    <x v="3"/>
    <x v="3"/>
    <x v="0"/>
    <x v="8"/>
    <x v="0"/>
    <x v="0"/>
    <x v="0"/>
    <x v="2"/>
    <x v="0"/>
    <s v="4 x 2.5kg"/>
    <x v="0"/>
    <x v="0"/>
  </r>
  <r>
    <x v="0"/>
    <x v="6"/>
    <x v="6"/>
    <x v="1"/>
    <x v="1"/>
    <x v="0"/>
    <x v="9"/>
    <x v="0"/>
    <x v="0"/>
    <x v="0"/>
    <x v="0"/>
    <x v="1"/>
    <s v="10 x 1kg"/>
    <x v="0"/>
    <x v="0"/>
  </r>
  <r>
    <x v="2"/>
    <x v="6"/>
    <x v="6"/>
    <x v="1"/>
    <x v="1"/>
    <x v="0"/>
    <x v="10"/>
    <x v="0"/>
    <x v="0"/>
    <x v="0"/>
    <x v="2"/>
    <x v="1"/>
    <s v="10 x 1kg"/>
    <x v="0"/>
    <x v="0"/>
  </r>
  <r>
    <x v="0"/>
    <x v="7"/>
    <x v="7"/>
    <x v="1"/>
    <x v="1"/>
    <x v="0"/>
    <x v="11"/>
    <x v="0"/>
    <x v="0"/>
    <x v="0"/>
    <x v="0"/>
    <x v="1"/>
    <s v="10 x 1kg"/>
    <x v="0"/>
    <x v="0"/>
  </r>
  <r>
    <x v="2"/>
    <x v="7"/>
    <x v="7"/>
    <x v="1"/>
    <x v="1"/>
    <x v="0"/>
    <x v="12"/>
    <x v="0"/>
    <x v="0"/>
    <x v="0"/>
    <x v="2"/>
    <x v="1"/>
    <s v="10 x 1kg"/>
    <x v="0"/>
    <x v="0"/>
  </r>
  <r>
    <x v="2"/>
    <x v="8"/>
    <x v="8"/>
    <x v="1"/>
    <x v="1"/>
    <x v="0"/>
    <x v="13"/>
    <x v="0"/>
    <x v="0"/>
    <x v="0"/>
    <x v="2"/>
    <x v="1"/>
    <s v="10 x 1kg"/>
    <x v="1"/>
    <x v="0"/>
  </r>
  <r>
    <x v="3"/>
    <x v="9"/>
    <x v="9"/>
    <x v="4"/>
    <x v="4"/>
    <x v="1"/>
    <x v="14"/>
    <x v="1"/>
    <x v="2"/>
    <x v="0"/>
    <x v="3"/>
    <x v="2"/>
    <s v="3 x 1.5kg"/>
    <x v="1"/>
    <x v="0"/>
  </r>
  <r>
    <x v="3"/>
    <x v="10"/>
    <x v="10"/>
    <x v="4"/>
    <x v="4"/>
    <x v="1"/>
    <x v="15"/>
    <x v="1"/>
    <x v="3"/>
    <x v="0"/>
    <x v="3"/>
    <x v="2"/>
    <s v="3 x 1.5kg"/>
    <x v="1"/>
    <x v="0"/>
  </r>
  <r>
    <x v="3"/>
    <x v="11"/>
    <x v="11"/>
    <x v="4"/>
    <x v="4"/>
    <x v="1"/>
    <x v="16"/>
    <x v="1"/>
    <x v="3"/>
    <x v="0"/>
    <x v="3"/>
    <x v="2"/>
    <s v="3 x 1.5kg"/>
    <x v="1"/>
    <x v="0"/>
  </r>
  <r>
    <x v="0"/>
    <x v="12"/>
    <x v="12"/>
    <x v="5"/>
    <x v="5"/>
    <x v="2"/>
    <x v="17"/>
    <x v="3"/>
    <x v="0"/>
    <x v="0"/>
    <x v="0"/>
    <x v="3"/>
    <s v="18 x 550g"/>
    <x v="2"/>
    <x v="0"/>
  </r>
  <r>
    <x v="2"/>
    <x v="13"/>
    <x v="13"/>
    <x v="3"/>
    <x v="6"/>
    <x v="2"/>
    <x v="18"/>
    <x v="0"/>
    <x v="0"/>
    <x v="0"/>
    <x v="2"/>
    <x v="3"/>
    <s v="18 x 550g"/>
    <x v="2"/>
    <x v="0"/>
  </r>
  <r>
    <x v="2"/>
    <x v="14"/>
    <x v="14"/>
    <x v="3"/>
    <x v="6"/>
    <x v="2"/>
    <x v="19"/>
    <x v="0"/>
    <x v="0"/>
    <x v="0"/>
    <x v="2"/>
    <x v="3"/>
    <s v="18 x 550g"/>
    <x v="2"/>
    <x v="0"/>
  </r>
  <r>
    <x v="2"/>
    <x v="15"/>
    <x v="15"/>
    <x v="3"/>
    <x v="7"/>
    <x v="3"/>
    <x v="20"/>
    <x v="0"/>
    <x v="0"/>
    <x v="0"/>
    <x v="2"/>
    <x v="3"/>
    <s v="18 x 480g"/>
    <x v="2"/>
    <x v="0"/>
  </r>
  <r>
    <x v="2"/>
    <x v="16"/>
    <x v="16"/>
    <x v="3"/>
    <x v="7"/>
    <x v="3"/>
    <x v="21"/>
    <x v="0"/>
    <x v="0"/>
    <x v="0"/>
    <x v="2"/>
    <x v="3"/>
    <s v="18 x 480g"/>
    <x v="2"/>
    <x v="0"/>
  </r>
  <r>
    <x v="2"/>
    <x v="17"/>
    <x v="17"/>
    <x v="3"/>
    <x v="7"/>
    <x v="3"/>
    <x v="22"/>
    <x v="0"/>
    <x v="0"/>
    <x v="0"/>
    <x v="2"/>
    <x v="3"/>
    <s v="18 x 480g"/>
    <x v="2"/>
    <x v="0"/>
  </r>
  <r>
    <x v="2"/>
    <x v="18"/>
    <x v="18"/>
    <x v="3"/>
    <x v="7"/>
    <x v="3"/>
    <x v="23"/>
    <x v="0"/>
    <x v="0"/>
    <x v="0"/>
    <x v="2"/>
    <x v="3"/>
    <s v="18 x 480g"/>
    <x v="2"/>
    <x v="0"/>
  </r>
  <r>
    <x v="2"/>
    <x v="19"/>
    <x v="19"/>
    <x v="3"/>
    <x v="6"/>
    <x v="2"/>
    <x v="24"/>
    <x v="0"/>
    <x v="0"/>
    <x v="0"/>
    <x v="2"/>
    <x v="3"/>
    <s v="18 x 550g"/>
    <x v="2"/>
    <x v="0"/>
  </r>
  <r>
    <x v="4"/>
    <x v="20"/>
    <x v="20"/>
    <x v="6"/>
    <x v="8"/>
    <x v="4"/>
    <x v="25"/>
    <x v="0"/>
    <x v="0"/>
    <x v="0"/>
    <x v="4"/>
    <x v="4"/>
    <s v="24 x 240g"/>
    <x v="2"/>
    <x v="1"/>
  </r>
  <r>
    <x v="4"/>
    <x v="21"/>
    <x v="21"/>
    <x v="6"/>
    <x v="9"/>
    <x v="5"/>
    <x v="26"/>
    <x v="0"/>
    <x v="0"/>
    <x v="0"/>
    <x v="4"/>
    <x v="4"/>
    <s v="24 x 180g"/>
    <x v="2"/>
    <x v="1"/>
  </r>
  <r>
    <x v="4"/>
    <x v="22"/>
    <x v="22"/>
    <x v="6"/>
    <x v="10"/>
    <x v="6"/>
    <x v="27"/>
    <x v="0"/>
    <x v="0"/>
    <x v="0"/>
    <x v="4"/>
    <x v="4"/>
    <s v="24 x 224g"/>
    <x v="2"/>
    <x v="1"/>
  </r>
  <r>
    <x v="2"/>
    <x v="23"/>
    <x v="23"/>
    <x v="3"/>
    <x v="7"/>
    <x v="3"/>
    <x v="28"/>
    <x v="0"/>
    <x v="0"/>
    <x v="0"/>
    <x v="2"/>
    <x v="3"/>
    <s v="18 x 480g"/>
    <x v="2"/>
    <x v="0"/>
  </r>
  <r>
    <x v="2"/>
    <x v="24"/>
    <x v="24"/>
    <x v="7"/>
    <x v="11"/>
    <x v="7"/>
    <x v="29"/>
    <x v="0"/>
    <x v="0"/>
    <x v="0"/>
    <x v="2"/>
    <x v="5"/>
    <s v="14 x 500g"/>
    <x v="2"/>
    <x v="0"/>
  </r>
  <r>
    <x v="2"/>
    <x v="25"/>
    <x v="25"/>
    <x v="7"/>
    <x v="11"/>
    <x v="7"/>
    <x v="30"/>
    <x v="0"/>
    <x v="0"/>
    <x v="0"/>
    <x v="2"/>
    <x v="5"/>
    <s v="14 x 500g"/>
    <x v="2"/>
    <x v="0"/>
  </r>
  <r>
    <x v="5"/>
    <x v="26"/>
    <x v="26"/>
    <x v="6"/>
    <x v="9"/>
    <x v="5"/>
    <x v="27"/>
    <x v="0"/>
    <x v="0"/>
    <x v="0"/>
    <x v="5"/>
    <x v="4"/>
    <s v="24 x 180g"/>
    <x v="2"/>
    <x v="1"/>
  </r>
  <r>
    <x v="0"/>
    <x v="27"/>
    <x v="27"/>
    <x v="8"/>
    <x v="12"/>
    <x v="8"/>
    <x v="31"/>
    <x v="0"/>
    <x v="0"/>
    <x v="0"/>
    <x v="0"/>
    <x v="6"/>
    <s v="12 x 320g"/>
    <x v="2"/>
    <x v="0"/>
  </r>
  <r>
    <x v="0"/>
    <x v="28"/>
    <x v="28"/>
    <x v="8"/>
    <x v="12"/>
    <x v="8"/>
    <x v="9"/>
    <x v="0"/>
    <x v="0"/>
    <x v="0"/>
    <x v="0"/>
    <x v="7"/>
    <s v=""/>
    <x v="2"/>
    <x v="0"/>
  </r>
  <r>
    <x v="2"/>
    <x v="29"/>
    <x v="29"/>
    <x v="9"/>
    <x v="13"/>
    <x v="9"/>
    <x v="32"/>
    <x v="0"/>
    <x v="0"/>
    <x v="0"/>
    <x v="2"/>
    <x v="6"/>
    <s v="12 x 450g"/>
    <x v="2"/>
    <x v="0"/>
  </r>
  <r>
    <x v="2"/>
    <x v="30"/>
    <x v="30"/>
    <x v="10"/>
    <x v="14"/>
    <x v="9"/>
    <x v="33"/>
    <x v="0"/>
    <x v="0"/>
    <x v="0"/>
    <x v="2"/>
    <x v="6"/>
    <s v="18 x 450g"/>
    <x v="2"/>
    <x v="0"/>
  </r>
  <r>
    <x v="2"/>
    <x v="31"/>
    <x v="31"/>
    <x v="7"/>
    <x v="11"/>
    <x v="7"/>
    <x v="0"/>
    <x v="0"/>
    <x v="0"/>
    <x v="0"/>
    <x v="2"/>
    <x v="5"/>
    <s v="14 x 500g"/>
    <x v="2"/>
    <x v="0"/>
  </r>
  <r>
    <x v="0"/>
    <x v="32"/>
    <x v="32"/>
    <x v="11"/>
    <x v="15"/>
    <x v="10"/>
    <x v="34"/>
    <x v="0"/>
    <x v="0"/>
    <x v="0"/>
    <x v="0"/>
    <x v="8"/>
    <s v="40 x 200g"/>
    <x v="2"/>
    <x v="0"/>
  </r>
  <r>
    <x v="0"/>
    <x v="33"/>
    <x v="33"/>
    <x v="11"/>
    <x v="15"/>
    <x v="10"/>
    <x v="35"/>
    <x v="0"/>
    <x v="0"/>
    <x v="0"/>
    <x v="0"/>
    <x v="8"/>
    <s v="40 x 200g"/>
    <x v="2"/>
    <x v="2"/>
  </r>
  <r>
    <x v="2"/>
    <x v="34"/>
    <x v="34"/>
    <x v="12"/>
    <x v="16"/>
    <x v="2"/>
    <x v="36"/>
    <x v="0"/>
    <x v="0"/>
    <x v="0"/>
    <x v="2"/>
    <x v="9"/>
    <s v="22 x 450g"/>
    <x v="2"/>
    <x v="2"/>
  </r>
  <r>
    <x v="2"/>
    <x v="35"/>
    <x v="35"/>
    <x v="12"/>
    <x v="16"/>
    <x v="2"/>
    <x v="36"/>
    <x v="0"/>
    <x v="0"/>
    <x v="0"/>
    <x v="2"/>
    <x v="9"/>
    <s v="22 x 450g"/>
    <x v="2"/>
    <x v="2"/>
  </r>
  <r>
    <x v="2"/>
    <x v="36"/>
    <x v="36"/>
    <x v="12"/>
    <x v="16"/>
    <x v="2"/>
    <x v="36"/>
    <x v="0"/>
    <x v="0"/>
    <x v="0"/>
    <x v="2"/>
    <x v="9"/>
    <s v="22 x 450g"/>
    <x v="2"/>
    <x v="2"/>
  </r>
  <r>
    <x v="2"/>
    <x v="37"/>
    <x v="37"/>
    <x v="13"/>
    <x v="17"/>
    <x v="11"/>
    <x v="37"/>
    <x v="0"/>
    <x v="0"/>
    <x v="0"/>
    <x v="2"/>
    <x v="5"/>
    <s v="14 x 480g"/>
    <x v="2"/>
    <x v="0"/>
  </r>
  <r>
    <x v="2"/>
    <x v="38"/>
    <x v="38"/>
    <x v="13"/>
    <x v="17"/>
    <x v="11"/>
    <x v="38"/>
    <x v="0"/>
    <x v="0"/>
    <x v="0"/>
    <x v="2"/>
    <x v="5"/>
    <s v="14 x 480g"/>
    <x v="2"/>
    <x v="2"/>
  </r>
  <r>
    <x v="2"/>
    <x v="39"/>
    <x v="39"/>
    <x v="13"/>
    <x v="17"/>
    <x v="11"/>
    <x v="39"/>
    <x v="0"/>
    <x v="0"/>
    <x v="0"/>
    <x v="2"/>
    <x v="5"/>
    <s v="14 x 480g"/>
    <x v="2"/>
    <x v="2"/>
  </r>
  <r>
    <x v="0"/>
    <x v="40"/>
    <x v="40"/>
    <x v="14"/>
    <x v="18"/>
    <x v="12"/>
    <x v="40"/>
    <x v="0"/>
    <x v="0"/>
    <x v="0"/>
    <x v="0"/>
    <x v="10"/>
    <s v="26 x 450g"/>
    <x v="2"/>
    <x v="2"/>
  </r>
  <r>
    <x v="0"/>
    <x v="40"/>
    <x v="40"/>
    <x v="14"/>
    <x v="18"/>
    <x v="12"/>
    <x v="41"/>
    <x v="4"/>
    <x v="0"/>
    <x v="0"/>
    <x v="0"/>
    <x v="10"/>
    <s v="26 x 450g"/>
    <x v="2"/>
    <x v="2"/>
  </r>
  <r>
    <x v="0"/>
    <x v="41"/>
    <x v="41"/>
    <x v="14"/>
    <x v="18"/>
    <x v="12"/>
    <x v="37"/>
    <x v="0"/>
    <x v="0"/>
    <x v="0"/>
    <x v="0"/>
    <x v="10"/>
    <s v="26 x 450g"/>
    <x v="2"/>
    <x v="2"/>
  </r>
  <r>
    <x v="0"/>
    <x v="41"/>
    <x v="41"/>
    <x v="14"/>
    <x v="18"/>
    <x v="12"/>
    <x v="34"/>
    <x v="4"/>
    <x v="0"/>
    <x v="0"/>
    <x v="0"/>
    <x v="10"/>
    <s v="26 x 450g"/>
    <x v="2"/>
    <x v="2"/>
  </r>
  <r>
    <x v="0"/>
    <x v="42"/>
    <x v="42"/>
    <x v="14"/>
    <x v="18"/>
    <x v="12"/>
    <x v="37"/>
    <x v="0"/>
    <x v="0"/>
    <x v="0"/>
    <x v="0"/>
    <x v="10"/>
    <s v="26 x 450g"/>
    <x v="2"/>
    <x v="2"/>
  </r>
  <r>
    <x v="0"/>
    <x v="42"/>
    <x v="42"/>
    <x v="14"/>
    <x v="18"/>
    <x v="12"/>
    <x v="34"/>
    <x v="4"/>
    <x v="0"/>
    <x v="0"/>
    <x v="0"/>
    <x v="10"/>
    <s v="26 x 450g"/>
    <x v="2"/>
    <x v="2"/>
  </r>
  <r>
    <x v="2"/>
    <x v="43"/>
    <x v="43"/>
    <x v="3"/>
    <x v="6"/>
    <x v="2"/>
    <x v="42"/>
    <x v="0"/>
    <x v="0"/>
    <x v="0"/>
    <x v="2"/>
    <x v="3"/>
    <s v="18 x 550g"/>
    <x v="2"/>
    <x v="0"/>
  </r>
  <r>
    <x v="0"/>
    <x v="44"/>
    <x v="44"/>
    <x v="5"/>
    <x v="5"/>
    <x v="2"/>
    <x v="17"/>
    <x v="3"/>
    <x v="0"/>
    <x v="0"/>
    <x v="0"/>
    <x v="3"/>
    <s v="18 x 550g"/>
    <x v="2"/>
    <x v="0"/>
  </r>
  <r>
    <x v="0"/>
    <x v="45"/>
    <x v="45"/>
    <x v="5"/>
    <x v="5"/>
    <x v="2"/>
    <x v="17"/>
    <x v="3"/>
    <x v="0"/>
    <x v="0"/>
    <x v="0"/>
    <x v="3"/>
    <s v="18 x 550g"/>
    <x v="2"/>
    <x v="0"/>
  </r>
  <r>
    <x v="0"/>
    <x v="46"/>
    <x v="46"/>
    <x v="5"/>
    <x v="5"/>
    <x v="2"/>
    <x v="17"/>
    <x v="3"/>
    <x v="0"/>
    <x v="0"/>
    <x v="0"/>
    <x v="3"/>
    <s v="18 x 550g"/>
    <x v="2"/>
    <x v="0"/>
  </r>
  <r>
    <x v="2"/>
    <x v="47"/>
    <x v="47"/>
    <x v="3"/>
    <x v="6"/>
    <x v="2"/>
    <x v="43"/>
    <x v="0"/>
    <x v="0"/>
    <x v="0"/>
    <x v="2"/>
    <x v="3"/>
    <s v="18 x 550g"/>
    <x v="2"/>
    <x v="0"/>
  </r>
  <r>
    <x v="2"/>
    <x v="48"/>
    <x v="48"/>
    <x v="3"/>
    <x v="6"/>
    <x v="2"/>
    <x v="38"/>
    <x v="0"/>
    <x v="0"/>
    <x v="0"/>
    <x v="2"/>
    <x v="3"/>
    <s v="18 x 550g"/>
    <x v="2"/>
    <x v="0"/>
  </r>
  <r>
    <x v="0"/>
    <x v="49"/>
    <x v="49"/>
    <x v="12"/>
    <x v="16"/>
    <x v="2"/>
    <x v="36"/>
    <x v="0"/>
    <x v="0"/>
    <x v="0"/>
    <x v="0"/>
    <x v="9"/>
    <s v="22 x 450g"/>
    <x v="2"/>
    <x v="2"/>
  </r>
  <r>
    <x v="0"/>
    <x v="49"/>
    <x v="49"/>
    <x v="12"/>
    <x v="16"/>
    <x v="2"/>
    <x v="9"/>
    <x v="2"/>
    <x v="1"/>
    <x v="0"/>
    <x v="0"/>
    <x v="9"/>
    <s v="22 x 450g"/>
    <x v="2"/>
    <x v="2"/>
  </r>
  <r>
    <x v="0"/>
    <x v="50"/>
    <x v="50"/>
    <x v="15"/>
    <x v="19"/>
    <x v="2"/>
    <x v="36"/>
    <x v="0"/>
    <x v="0"/>
    <x v="0"/>
    <x v="0"/>
    <x v="9"/>
    <s v="22 x 450g"/>
    <x v="2"/>
    <x v="2"/>
  </r>
  <r>
    <x v="2"/>
    <x v="51"/>
    <x v="51"/>
    <x v="13"/>
    <x v="17"/>
    <x v="11"/>
    <x v="44"/>
    <x v="0"/>
    <x v="0"/>
    <x v="0"/>
    <x v="2"/>
    <x v="5"/>
    <s v="14 x 480g"/>
    <x v="2"/>
    <x v="0"/>
  </r>
  <r>
    <x v="0"/>
    <x v="52"/>
    <x v="52"/>
    <x v="16"/>
    <x v="20"/>
    <x v="13"/>
    <x v="45"/>
    <x v="1"/>
    <x v="0"/>
    <x v="0"/>
    <x v="0"/>
    <x v="4"/>
    <s v="24 x 300g"/>
    <x v="2"/>
    <x v="0"/>
  </r>
  <r>
    <x v="0"/>
    <x v="52"/>
    <x v="52"/>
    <x v="16"/>
    <x v="20"/>
    <x v="13"/>
    <x v="11"/>
    <x v="2"/>
    <x v="1"/>
    <x v="0"/>
    <x v="0"/>
    <x v="4"/>
    <s v="24 x 300g"/>
    <x v="2"/>
    <x v="0"/>
  </r>
  <r>
    <x v="0"/>
    <x v="53"/>
    <x v="53"/>
    <x v="13"/>
    <x v="17"/>
    <x v="11"/>
    <x v="46"/>
    <x v="0"/>
    <x v="0"/>
    <x v="0"/>
    <x v="0"/>
    <x v="5"/>
    <s v="14 x 480g"/>
    <x v="2"/>
    <x v="0"/>
  </r>
  <r>
    <x v="0"/>
    <x v="54"/>
    <x v="54"/>
    <x v="13"/>
    <x v="17"/>
    <x v="11"/>
    <x v="46"/>
    <x v="0"/>
    <x v="0"/>
    <x v="0"/>
    <x v="0"/>
    <x v="5"/>
    <s v="14 x 480g"/>
    <x v="2"/>
    <x v="0"/>
  </r>
  <r>
    <x v="0"/>
    <x v="55"/>
    <x v="55"/>
    <x v="14"/>
    <x v="18"/>
    <x v="12"/>
    <x v="47"/>
    <x v="0"/>
    <x v="0"/>
    <x v="0"/>
    <x v="0"/>
    <x v="10"/>
    <s v="26 x 450g"/>
    <x v="2"/>
    <x v="2"/>
  </r>
  <r>
    <x v="0"/>
    <x v="55"/>
    <x v="55"/>
    <x v="14"/>
    <x v="18"/>
    <x v="12"/>
    <x v="48"/>
    <x v="4"/>
    <x v="0"/>
    <x v="0"/>
    <x v="0"/>
    <x v="10"/>
    <s v="26 x 450g"/>
    <x v="2"/>
    <x v="2"/>
  </r>
  <r>
    <x v="0"/>
    <x v="56"/>
    <x v="56"/>
    <x v="14"/>
    <x v="18"/>
    <x v="12"/>
    <x v="49"/>
    <x v="0"/>
    <x v="0"/>
    <x v="0"/>
    <x v="0"/>
    <x v="10"/>
    <s v="26 x 450g"/>
    <x v="2"/>
    <x v="2"/>
  </r>
  <r>
    <x v="0"/>
    <x v="56"/>
    <x v="56"/>
    <x v="14"/>
    <x v="18"/>
    <x v="12"/>
    <x v="50"/>
    <x v="4"/>
    <x v="0"/>
    <x v="0"/>
    <x v="0"/>
    <x v="10"/>
    <s v="26 x 450g"/>
    <x v="2"/>
    <x v="2"/>
  </r>
  <r>
    <x v="0"/>
    <x v="57"/>
    <x v="57"/>
    <x v="14"/>
    <x v="18"/>
    <x v="12"/>
    <x v="51"/>
    <x v="0"/>
    <x v="0"/>
    <x v="0"/>
    <x v="0"/>
    <x v="10"/>
    <s v="26 x 450g"/>
    <x v="2"/>
    <x v="2"/>
  </r>
  <r>
    <x v="0"/>
    <x v="57"/>
    <x v="57"/>
    <x v="14"/>
    <x v="18"/>
    <x v="12"/>
    <x v="50"/>
    <x v="4"/>
    <x v="0"/>
    <x v="0"/>
    <x v="0"/>
    <x v="10"/>
    <s v="26 x 450g"/>
    <x v="2"/>
    <x v="2"/>
  </r>
  <r>
    <x v="0"/>
    <x v="58"/>
    <x v="58"/>
    <x v="14"/>
    <x v="18"/>
    <x v="12"/>
    <x v="52"/>
    <x v="0"/>
    <x v="0"/>
    <x v="0"/>
    <x v="0"/>
    <x v="10"/>
    <s v="26 x 450g"/>
    <x v="2"/>
    <x v="2"/>
  </r>
  <r>
    <x v="0"/>
    <x v="58"/>
    <x v="58"/>
    <x v="14"/>
    <x v="18"/>
    <x v="12"/>
    <x v="53"/>
    <x v="4"/>
    <x v="0"/>
    <x v="0"/>
    <x v="0"/>
    <x v="10"/>
    <s v="26 x 450g"/>
    <x v="2"/>
    <x v="2"/>
  </r>
  <r>
    <x v="2"/>
    <x v="59"/>
    <x v="59"/>
    <x v="13"/>
    <x v="17"/>
    <x v="11"/>
    <x v="54"/>
    <x v="0"/>
    <x v="0"/>
    <x v="0"/>
    <x v="2"/>
    <x v="5"/>
    <s v="14 x 480g"/>
    <x v="2"/>
    <x v="0"/>
  </r>
  <r>
    <x v="0"/>
    <x v="60"/>
    <x v="60"/>
    <x v="5"/>
    <x v="5"/>
    <x v="2"/>
    <x v="26"/>
    <x v="5"/>
    <x v="0"/>
    <x v="0"/>
    <x v="0"/>
    <x v="3"/>
    <s v="18 x 550g"/>
    <x v="2"/>
    <x v="2"/>
  </r>
  <r>
    <x v="0"/>
    <x v="60"/>
    <x v="60"/>
    <x v="5"/>
    <x v="5"/>
    <x v="2"/>
    <x v="1"/>
    <x v="2"/>
    <x v="4"/>
    <x v="0"/>
    <x v="0"/>
    <x v="3"/>
    <s v="18 x 550g"/>
    <x v="2"/>
    <x v="2"/>
  </r>
  <r>
    <x v="0"/>
    <x v="61"/>
    <x v="61"/>
    <x v="13"/>
    <x v="17"/>
    <x v="11"/>
    <x v="46"/>
    <x v="0"/>
    <x v="0"/>
    <x v="0"/>
    <x v="0"/>
    <x v="5"/>
    <s v="14 x 480g"/>
    <x v="2"/>
    <x v="0"/>
  </r>
  <r>
    <x v="0"/>
    <x v="62"/>
    <x v="62"/>
    <x v="7"/>
    <x v="11"/>
    <x v="7"/>
    <x v="46"/>
    <x v="0"/>
    <x v="0"/>
    <x v="0"/>
    <x v="0"/>
    <x v="5"/>
    <s v="14 x 500g"/>
    <x v="2"/>
    <x v="2"/>
  </r>
  <r>
    <x v="0"/>
    <x v="63"/>
    <x v="63"/>
    <x v="17"/>
    <x v="21"/>
    <x v="14"/>
    <x v="55"/>
    <x v="0"/>
    <x v="0"/>
    <x v="0"/>
    <x v="0"/>
    <x v="6"/>
    <s v="12 x 400g"/>
    <x v="2"/>
    <x v="0"/>
  </r>
  <r>
    <x v="2"/>
    <x v="64"/>
    <x v="64"/>
    <x v="17"/>
    <x v="21"/>
    <x v="14"/>
    <x v="55"/>
    <x v="0"/>
    <x v="0"/>
    <x v="0"/>
    <x v="2"/>
    <x v="6"/>
    <s v="12 x 400g"/>
    <x v="2"/>
    <x v="0"/>
  </r>
  <r>
    <x v="2"/>
    <x v="65"/>
    <x v="65"/>
    <x v="17"/>
    <x v="21"/>
    <x v="14"/>
    <x v="55"/>
    <x v="0"/>
    <x v="0"/>
    <x v="0"/>
    <x v="2"/>
    <x v="6"/>
    <s v="12 x 400g"/>
    <x v="2"/>
    <x v="0"/>
  </r>
  <r>
    <x v="2"/>
    <x v="66"/>
    <x v="66"/>
    <x v="17"/>
    <x v="21"/>
    <x v="14"/>
    <x v="55"/>
    <x v="0"/>
    <x v="0"/>
    <x v="0"/>
    <x v="2"/>
    <x v="6"/>
    <s v="12 x 400g"/>
    <x v="2"/>
    <x v="0"/>
  </r>
  <r>
    <x v="2"/>
    <x v="67"/>
    <x v="67"/>
    <x v="13"/>
    <x v="17"/>
    <x v="11"/>
    <x v="56"/>
    <x v="0"/>
    <x v="0"/>
    <x v="0"/>
    <x v="2"/>
    <x v="5"/>
    <s v="14 x 480g"/>
    <x v="2"/>
    <x v="0"/>
  </r>
  <r>
    <x v="2"/>
    <x v="68"/>
    <x v="68"/>
    <x v="13"/>
    <x v="17"/>
    <x v="11"/>
    <x v="57"/>
    <x v="0"/>
    <x v="0"/>
    <x v="0"/>
    <x v="2"/>
    <x v="5"/>
    <s v="14 x 480g"/>
    <x v="2"/>
    <x v="0"/>
  </r>
  <r>
    <x v="0"/>
    <x v="69"/>
    <x v="69"/>
    <x v="9"/>
    <x v="13"/>
    <x v="9"/>
    <x v="58"/>
    <x v="0"/>
    <x v="0"/>
    <x v="0"/>
    <x v="0"/>
    <x v="6"/>
    <s v="12 x 450g"/>
    <x v="2"/>
    <x v="2"/>
  </r>
  <r>
    <x v="0"/>
    <x v="70"/>
    <x v="70"/>
    <x v="9"/>
    <x v="13"/>
    <x v="9"/>
    <x v="50"/>
    <x v="0"/>
    <x v="0"/>
    <x v="0"/>
    <x v="0"/>
    <x v="6"/>
    <s v="12 x 450g"/>
    <x v="2"/>
    <x v="2"/>
  </r>
  <r>
    <x v="0"/>
    <x v="71"/>
    <x v="71"/>
    <x v="9"/>
    <x v="13"/>
    <x v="9"/>
    <x v="47"/>
    <x v="0"/>
    <x v="0"/>
    <x v="0"/>
    <x v="0"/>
    <x v="6"/>
    <s v="12 x 450g"/>
    <x v="2"/>
    <x v="2"/>
  </r>
  <r>
    <x v="0"/>
    <x v="72"/>
    <x v="72"/>
    <x v="9"/>
    <x v="13"/>
    <x v="9"/>
    <x v="49"/>
    <x v="0"/>
    <x v="0"/>
    <x v="0"/>
    <x v="0"/>
    <x v="6"/>
    <s v="12 x 450g"/>
    <x v="2"/>
    <x v="2"/>
  </r>
  <r>
    <x v="0"/>
    <x v="73"/>
    <x v="73"/>
    <x v="9"/>
    <x v="13"/>
    <x v="9"/>
    <x v="49"/>
    <x v="0"/>
    <x v="0"/>
    <x v="0"/>
    <x v="0"/>
    <x v="6"/>
    <s v="12 x 450g"/>
    <x v="2"/>
    <x v="2"/>
  </r>
  <r>
    <x v="0"/>
    <x v="74"/>
    <x v="74"/>
    <x v="9"/>
    <x v="13"/>
    <x v="9"/>
    <x v="59"/>
    <x v="0"/>
    <x v="0"/>
    <x v="0"/>
    <x v="0"/>
    <x v="6"/>
    <s v="12 x 450g"/>
    <x v="2"/>
    <x v="2"/>
  </r>
  <r>
    <x v="2"/>
    <x v="75"/>
    <x v="75"/>
    <x v="18"/>
    <x v="22"/>
    <x v="15"/>
    <x v="60"/>
    <x v="6"/>
    <x v="0"/>
    <x v="0"/>
    <x v="2"/>
    <x v="11"/>
    <s v="16 x 400g"/>
    <x v="2"/>
    <x v="0"/>
  </r>
  <r>
    <x v="2"/>
    <x v="76"/>
    <x v="76"/>
    <x v="18"/>
    <x v="23"/>
    <x v="16"/>
    <x v="61"/>
    <x v="1"/>
    <x v="0"/>
    <x v="0"/>
    <x v="2"/>
    <x v="11"/>
    <s v="16 x 380g"/>
    <x v="2"/>
    <x v="0"/>
  </r>
  <r>
    <x v="2"/>
    <x v="77"/>
    <x v="77"/>
    <x v="4"/>
    <x v="4"/>
    <x v="16"/>
    <x v="62"/>
    <x v="6"/>
    <x v="0"/>
    <x v="0"/>
    <x v="2"/>
    <x v="11"/>
    <s v="16 x 380g"/>
    <x v="2"/>
    <x v="0"/>
  </r>
  <r>
    <x v="2"/>
    <x v="78"/>
    <x v="78"/>
    <x v="18"/>
    <x v="23"/>
    <x v="16"/>
    <x v="63"/>
    <x v="1"/>
    <x v="0"/>
    <x v="0"/>
    <x v="2"/>
    <x v="7"/>
    <s v="16 x 380g"/>
    <x v="2"/>
    <x v="0"/>
  </r>
  <r>
    <x v="5"/>
    <x v="79"/>
    <x v="79"/>
    <x v="6"/>
    <x v="9"/>
    <x v="5"/>
    <x v="64"/>
    <x v="0"/>
    <x v="0"/>
    <x v="0"/>
    <x v="5"/>
    <x v="4"/>
    <s v="24 x 180g"/>
    <x v="2"/>
    <x v="1"/>
  </r>
  <r>
    <x v="1"/>
    <x v="80"/>
    <x v="80"/>
    <x v="1"/>
    <x v="24"/>
    <x v="17"/>
    <x v="65"/>
    <x v="0"/>
    <x v="0"/>
    <x v="0"/>
    <x v="1"/>
    <x v="1"/>
    <s v="10 x 960g"/>
    <x v="0"/>
    <x v="0"/>
  </r>
  <r>
    <x v="2"/>
    <x v="80"/>
    <x v="80"/>
    <x v="1"/>
    <x v="24"/>
    <x v="17"/>
    <x v="66"/>
    <x v="0"/>
    <x v="0"/>
    <x v="0"/>
    <x v="2"/>
    <x v="1"/>
    <s v="10 x 960g"/>
    <x v="0"/>
    <x v="0"/>
  </r>
  <r>
    <x v="1"/>
    <x v="80"/>
    <x v="80"/>
    <x v="1"/>
    <x v="24"/>
    <x v="17"/>
    <x v="65"/>
    <x v="2"/>
    <x v="1"/>
    <x v="0"/>
    <x v="1"/>
    <x v="1"/>
    <s v="10 x 960g"/>
    <x v="0"/>
    <x v="0"/>
  </r>
  <r>
    <x v="1"/>
    <x v="81"/>
    <x v="81"/>
    <x v="3"/>
    <x v="3"/>
    <x v="0"/>
    <x v="65"/>
    <x v="0"/>
    <x v="0"/>
    <x v="0"/>
    <x v="1"/>
    <x v="1"/>
    <s v="10 x 1kg"/>
    <x v="0"/>
    <x v="0"/>
  </r>
  <r>
    <x v="2"/>
    <x v="81"/>
    <x v="81"/>
    <x v="3"/>
    <x v="3"/>
    <x v="0"/>
    <x v="67"/>
    <x v="0"/>
    <x v="0"/>
    <x v="0"/>
    <x v="2"/>
    <x v="1"/>
    <s v="10 x 1kg"/>
    <x v="0"/>
    <x v="0"/>
  </r>
  <r>
    <x v="1"/>
    <x v="81"/>
    <x v="81"/>
    <x v="3"/>
    <x v="3"/>
    <x v="0"/>
    <x v="36"/>
    <x v="2"/>
    <x v="1"/>
    <x v="0"/>
    <x v="1"/>
    <x v="1"/>
    <s v="10 x 1kg"/>
    <x v="0"/>
    <x v="0"/>
  </r>
  <r>
    <x v="1"/>
    <x v="82"/>
    <x v="82"/>
    <x v="3"/>
    <x v="3"/>
    <x v="0"/>
    <x v="65"/>
    <x v="0"/>
    <x v="0"/>
    <x v="0"/>
    <x v="1"/>
    <x v="1"/>
    <s v="10 x 1kg"/>
    <x v="0"/>
    <x v="0"/>
  </r>
  <r>
    <x v="2"/>
    <x v="82"/>
    <x v="82"/>
    <x v="3"/>
    <x v="3"/>
    <x v="0"/>
    <x v="67"/>
    <x v="0"/>
    <x v="0"/>
    <x v="0"/>
    <x v="2"/>
    <x v="1"/>
    <s v="10 x 1kg"/>
    <x v="0"/>
    <x v="0"/>
  </r>
  <r>
    <x v="1"/>
    <x v="82"/>
    <x v="82"/>
    <x v="3"/>
    <x v="3"/>
    <x v="0"/>
    <x v="65"/>
    <x v="2"/>
    <x v="1"/>
    <x v="0"/>
    <x v="1"/>
    <x v="1"/>
    <s v="10 x 1kg"/>
    <x v="0"/>
    <x v="0"/>
  </r>
  <r>
    <x v="2"/>
    <x v="83"/>
    <x v="83"/>
    <x v="1"/>
    <x v="1"/>
    <x v="0"/>
    <x v="68"/>
    <x v="0"/>
    <x v="0"/>
    <x v="0"/>
    <x v="2"/>
    <x v="1"/>
    <s v="10 x 1kg"/>
    <x v="0"/>
    <x v="0"/>
  </r>
  <r>
    <x v="2"/>
    <x v="84"/>
    <x v="83"/>
    <x v="1"/>
    <x v="1"/>
    <x v="0"/>
    <x v="68"/>
    <x v="1"/>
    <x v="0"/>
    <x v="0"/>
    <x v="2"/>
    <x v="1"/>
    <s v="10 x 1kg"/>
    <x v="0"/>
    <x v="0"/>
  </r>
  <r>
    <x v="2"/>
    <x v="85"/>
    <x v="84"/>
    <x v="19"/>
    <x v="25"/>
    <x v="18"/>
    <x v="69"/>
    <x v="0"/>
    <x v="0"/>
    <x v="0"/>
    <x v="2"/>
    <x v="12"/>
    <s v="1 x 2kg"/>
    <x v="1"/>
    <x v="0"/>
  </r>
  <r>
    <x v="2"/>
    <x v="86"/>
    <x v="85"/>
    <x v="1"/>
    <x v="1"/>
    <x v="0"/>
    <x v="70"/>
    <x v="0"/>
    <x v="0"/>
    <x v="0"/>
    <x v="2"/>
    <x v="13"/>
    <s v="5 x 2kg"/>
    <x v="0"/>
    <x v="0"/>
  </r>
  <r>
    <x v="0"/>
    <x v="86"/>
    <x v="85"/>
    <x v="1"/>
    <x v="1"/>
    <x v="0"/>
    <x v="71"/>
    <x v="0"/>
    <x v="0"/>
    <x v="0"/>
    <x v="0"/>
    <x v="13"/>
    <s v="5 x 2kg"/>
    <x v="0"/>
    <x v="0"/>
  </r>
  <r>
    <x v="2"/>
    <x v="87"/>
    <x v="86"/>
    <x v="3"/>
    <x v="3"/>
    <x v="0"/>
    <x v="72"/>
    <x v="0"/>
    <x v="0"/>
    <x v="0"/>
    <x v="2"/>
    <x v="1"/>
    <s v="10 x 1kg"/>
    <x v="0"/>
    <x v="0"/>
  </r>
  <r>
    <x v="2"/>
    <x v="88"/>
    <x v="87"/>
    <x v="3"/>
    <x v="26"/>
    <x v="19"/>
    <x v="73"/>
    <x v="0"/>
    <x v="0"/>
    <x v="0"/>
    <x v="2"/>
    <x v="1"/>
    <s v="10 x 1.08kg"/>
    <x v="0"/>
    <x v="0"/>
  </r>
  <r>
    <x v="0"/>
    <x v="89"/>
    <x v="88"/>
    <x v="20"/>
    <x v="27"/>
    <x v="17"/>
    <x v="74"/>
    <x v="0"/>
    <x v="0"/>
    <x v="0"/>
    <x v="0"/>
    <x v="0"/>
    <s v="4 x 2.4kg"/>
    <x v="1"/>
    <x v="0"/>
  </r>
  <r>
    <x v="0"/>
    <x v="89"/>
    <x v="88"/>
    <x v="20"/>
    <x v="27"/>
    <x v="17"/>
    <x v="2"/>
    <x v="2"/>
    <x v="1"/>
    <x v="0"/>
    <x v="0"/>
    <x v="0"/>
    <s v="4 x 2.4kg"/>
    <x v="1"/>
    <x v="0"/>
  </r>
  <r>
    <x v="2"/>
    <x v="90"/>
    <x v="89"/>
    <x v="3"/>
    <x v="3"/>
    <x v="0"/>
    <x v="75"/>
    <x v="0"/>
    <x v="0"/>
    <x v="0"/>
    <x v="2"/>
    <x v="13"/>
    <s v="5 x 2kg"/>
    <x v="1"/>
    <x v="0"/>
  </r>
  <r>
    <x v="0"/>
    <x v="91"/>
    <x v="90"/>
    <x v="21"/>
    <x v="28"/>
    <x v="20"/>
    <x v="76"/>
    <x v="0"/>
    <x v="0"/>
    <x v="0"/>
    <x v="0"/>
    <x v="2"/>
    <s v="3 x 2kg"/>
    <x v="3"/>
    <x v="0"/>
  </r>
  <r>
    <x v="0"/>
    <x v="91"/>
    <x v="90"/>
    <x v="21"/>
    <x v="28"/>
    <x v="20"/>
    <x v="76"/>
    <x v="2"/>
    <x v="1"/>
    <x v="0"/>
    <x v="0"/>
    <x v="2"/>
    <s v="3 x 2kg"/>
    <x v="3"/>
    <x v="0"/>
  </r>
  <r>
    <x v="0"/>
    <x v="92"/>
    <x v="91"/>
    <x v="21"/>
    <x v="28"/>
    <x v="20"/>
    <x v="77"/>
    <x v="1"/>
    <x v="0"/>
    <x v="0"/>
    <x v="0"/>
    <x v="2"/>
    <s v="3 x 2kg"/>
    <x v="1"/>
    <x v="0"/>
  </r>
  <r>
    <x v="0"/>
    <x v="92"/>
    <x v="91"/>
    <x v="21"/>
    <x v="28"/>
    <x v="20"/>
    <x v="78"/>
    <x v="2"/>
    <x v="1"/>
    <x v="0"/>
    <x v="0"/>
    <x v="2"/>
    <s v="3 x 2kg"/>
    <x v="1"/>
    <x v="0"/>
  </r>
  <r>
    <x v="0"/>
    <x v="93"/>
    <x v="92"/>
    <x v="21"/>
    <x v="28"/>
    <x v="20"/>
    <x v="79"/>
    <x v="0"/>
    <x v="0"/>
    <x v="0"/>
    <x v="0"/>
    <x v="2"/>
    <s v="3 x 2kg"/>
    <x v="1"/>
    <x v="0"/>
  </r>
  <r>
    <x v="0"/>
    <x v="93"/>
    <x v="92"/>
    <x v="21"/>
    <x v="28"/>
    <x v="20"/>
    <x v="80"/>
    <x v="2"/>
    <x v="1"/>
    <x v="0"/>
    <x v="0"/>
    <x v="2"/>
    <s v="3 x 2kg"/>
    <x v="1"/>
    <x v="0"/>
  </r>
  <r>
    <x v="0"/>
    <x v="94"/>
    <x v="84"/>
    <x v="22"/>
    <x v="29"/>
    <x v="0"/>
    <x v="81"/>
    <x v="0"/>
    <x v="0"/>
    <x v="0"/>
    <x v="0"/>
    <x v="13"/>
    <s v="5 x 2kg"/>
    <x v="1"/>
    <x v="0"/>
  </r>
  <r>
    <x v="0"/>
    <x v="94"/>
    <x v="84"/>
    <x v="22"/>
    <x v="29"/>
    <x v="0"/>
    <x v="81"/>
    <x v="2"/>
    <x v="1"/>
    <x v="0"/>
    <x v="0"/>
    <x v="13"/>
    <s v="5 x 2kg"/>
    <x v="1"/>
    <x v="0"/>
  </r>
  <r>
    <x v="4"/>
    <x v="95"/>
    <x v="93"/>
    <x v="23"/>
    <x v="30"/>
    <x v="0"/>
    <x v="7"/>
    <x v="7"/>
    <x v="0"/>
    <x v="0"/>
    <x v="4"/>
    <x v="7"/>
    <s v="37 x 260-280g"/>
    <x v="3"/>
    <x v="3"/>
  </r>
  <r>
    <x v="1"/>
    <x v="96"/>
    <x v="94"/>
    <x v="24"/>
    <x v="31"/>
    <x v="21"/>
    <x v="82"/>
    <x v="1"/>
    <x v="0"/>
    <x v="0"/>
    <x v="1"/>
    <x v="14"/>
    <s v="66 x 30 x 0.24kg"/>
    <x v="4"/>
    <x v="0"/>
  </r>
  <r>
    <x v="2"/>
    <x v="97"/>
    <x v="95"/>
    <x v="3"/>
    <x v="3"/>
    <x v="0"/>
    <x v="83"/>
    <x v="0"/>
    <x v="0"/>
    <x v="0"/>
    <x v="2"/>
    <x v="1"/>
    <s v="10 x 1kg"/>
    <x v="0"/>
    <x v="0"/>
  </r>
  <r>
    <x v="6"/>
    <x v="97"/>
    <x v="95"/>
    <x v="3"/>
    <x v="3"/>
    <x v="0"/>
    <x v="26"/>
    <x v="0"/>
    <x v="0"/>
    <x v="0"/>
    <x v="6"/>
    <x v="1"/>
    <s v="10 x 1kg"/>
    <x v="0"/>
    <x v="0"/>
  </r>
  <r>
    <x v="6"/>
    <x v="97"/>
    <x v="95"/>
    <x v="3"/>
    <x v="3"/>
    <x v="0"/>
    <x v="1"/>
    <x v="2"/>
    <x v="1"/>
    <x v="0"/>
    <x v="6"/>
    <x v="1"/>
    <s v="10 x 1kg"/>
    <x v="0"/>
    <x v="0"/>
  </r>
  <r>
    <x v="2"/>
    <x v="98"/>
    <x v="96"/>
    <x v="3"/>
    <x v="3"/>
    <x v="0"/>
    <x v="84"/>
    <x v="0"/>
    <x v="0"/>
    <x v="0"/>
    <x v="2"/>
    <x v="1"/>
    <s v="10 x 1kg"/>
    <x v="0"/>
    <x v="0"/>
  </r>
  <r>
    <x v="0"/>
    <x v="99"/>
    <x v="97"/>
    <x v="1"/>
    <x v="1"/>
    <x v="0"/>
    <x v="85"/>
    <x v="0"/>
    <x v="0"/>
    <x v="0"/>
    <x v="0"/>
    <x v="13"/>
    <s v="5 x 2kg"/>
    <x v="1"/>
    <x v="0"/>
  </r>
  <r>
    <x v="2"/>
    <x v="100"/>
    <x v="98"/>
    <x v="25"/>
    <x v="32"/>
    <x v="17"/>
    <x v="86"/>
    <x v="0"/>
    <x v="0"/>
    <x v="0"/>
    <x v="2"/>
    <x v="0"/>
    <s v="4 x 2.4kg"/>
    <x v="0"/>
    <x v="0"/>
  </r>
  <r>
    <x v="2"/>
    <x v="101"/>
    <x v="98"/>
    <x v="1"/>
    <x v="24"/>
    <x v="17"/>
    <x v="86"/>
    <x v="1"/>
    <x v="0"/>
    <x v="0"/>
    <x v="2"/>
    <x v="0"/>
    <s v="4 x 2.4kg"/>
    <x v="0"/>
    <x v="0"/>
  </r>
  <r>
    <x v="0"/>
    <x v="102"/>
    <x v="99"/>
    <x v="26"/>
    <x v="33"/>
    <x v="2"/>
    <x v="17"/>
    <x v="0"/>
    <x v="0"/>
    <x v="0"/>
    <x v="0"/>
    <x v="13"/>
    <s v="5 x 1.98kg"/>
    <x v="0"/>
    <x v="0"/>
  </r>
  <r>
    <x v="0"/>
    <x v="103"/>
    <x v="100"/>
    <x v="27"/>
    <x v="34"/>
    <x v="17"/>
    <x v="31"/>
    <x v="0"/>
    <x v="0"/>
    <x v="0"/>
    <x v="0"/>
    <x v="0"/>
    <s v="4 x 2.4kg"/>
    <x v="3"/>
    <x v="0"/>
  </r>
  <r>
    <x v="0"/>
    <x v="104"/>
    <x v="101"/>
    <x v="1"/>
    <x v="24"/>
    <x v="17"/>
    <x v="87"/>
    <x v="0"/>
    <x v="0"/>
    <x v="0"/>
    <x v="0"/>
    <x v="0"/>
    <s v="4 x 2.4kg"/>
    <x v="0"/>
    <x v="0"/>
  </r>
  <r>
    <x v="2"/>
    <x v="104"/>
    <x v="101"/>
    <x v="1"/>
    <x v="24"/>
    <x v="17"/>
    <x v="88"/>
    <x v="0"/>
    <x v="0"/>
    <x v="0"/>
    <x v="2"/>
    <x v="0"/>
    <s v="4 x 2.4kg"/>
    <x v="0"/>
    <x v="0"/>
  </r>
  <r>
    <x v="0"/>
    <x v="104"/>
    <x v="101"/>
    <x v="1"/>
    <x v="24"/>
    <x v="17"/>
    <x v="89"/>
    <x v="2"/>
    <x v="1"/>
    <x v="0"/>
    <x v="0"/>
    <x v="0"/>
    <s v="4 x 2.4kg"/>
    <x v="0"/>
    <x v="0"/>
  </r>
  <r>
    <x v="2"/>
    <x v="105"/>
    <x v="102"/>
    <x v="1"/>
    <x v="35"/>
    <x v="10"/>
    <x v="11"/>
    <x v="0"/>
    <x v="0"/>
    <x v="0"/>
    <x v="2"/>
    <x v="0"/>
    <s v="4 x 2kg"/>
    <x v="0"/>
    <x v="0"/>
  </r>
  <r>
    <x v="0"/>
    <x v="106"/>
    <x v="103"/>
    <x v="28"/>
    <x v="36"/>
    <x v="22"/>
    <x v="7"/>
    <x v="1"/>
    <x v="0"/>
    <x v="0"/>
    <x v="0"/>
    <x v="2"/>
    <s v="3 x 1kg"/>
    <x v="0"/>
    <x v="0"/>
  </r>
  <r>
    <x v="0"/>
    <x v="106"/>
    <x v="103"/>
    <x v="28"/>
    <x v="36"/>
    <x v="22"/>
    <x v="7"/>
    <x v="2"/>
    <x v="4"/>
    <x v="0"/>
    <x v="0"/>
    <x v="2"/>
    <s v="3 x 1kg"/>
    <x v="0"/>
    <x v="0"/>
  </r>
  <r>
    <x v="0"/>
    <x v="107"/>
    <x v="104"/>
    <x v="28"/>
    <x v="36"/>
    <x v="22"/>
    <x v="90"/>
    <x v="2"/>
    <x v="1"/>
    <x v="0"/>
    <x v="0"/>
    <x v="2"/>
    <s v="3 x 1kg"/>
    <x v="0"/>
    <x v="0"/>
  </r>
  <r>
    <x v="2"/>
    <x v="108"/>
    <x v="105"/>
    <x v="3"/>
    <x v="3"/>
    <x v="0"/>
    <x v="91"/>
    <x v="0"/>
    <x v="0"/>
    <x v="0"/>
    <x v="2"/>
    <x v="13"/>
    <s v="5 x 2kg"/>
    <x v="1"/>
    <x v="0"/>
  </r>
  <r>
    <x v="2"/>
    <x v="108"/>
    <x v="105"/>
    <x v="3"/>
    <x v="3"/>
    <x v="0"/>
    <x v="91"/>
    <x v="2"/>
    <x v="1"/>
    <x v="0"/>
    <x v="2"/>
    <x v="13"/>
    <s v="5 x 2kg"/>
    <x v="1"/>
    <x v="0"/>
  </r>
  <r>
    <x v="0"/>
    <x v="109"/>
    <x v="106"/>
    <x v="3"/>
    <x v="3"/>
    <x v="0"/>
    <x v="74"/>
    <x v="0"/>
    <x v="0"/>
    <x v="0"/>
    <x v="0"/>
    <x v="1"/>
    <s v="10 x 1kg"/>
    <x v="0"/>
    <x v="0"/>
  </r>
  <r>
    <x v="0"/>
    <x v="109"/>
    <x v="106"/>
    <x v="3"/>
    <x v="3"/>
    <x v="0"/>
    <x v="2"/>
    <x v="2"/>
    <x v="4"/>
    <x v="0"/>
    <x v="0"/>
    <x v="1"/>
    <s v="10 x 1kg"/>
    <x v="0"/>
    <x v="0"/>
  </r>
  <r>
    <x v="2"/>
    <x v="110"/>
    <x v="107"/>
    <x v="3"/>
    <x v="3"/>
    <x v="0"/>
    <x v="92"/>
    <x v="0"/>
    <x v="0"/>
    <x v="0"/>
    <x v="2"/>
    <x v="1"/>
    <s v="10 x 1kg"/>
    <x v="0"/>
    <x v="0"/>
  </r>
  <r>
    <x v="1"/>
    <x v="111"/>
    <x v="108"/>
    <x v="3"/>
    <x v="3"/>
    <x v="0"/>
    <x v="65"/>
    <x v="0"/>
    <x v="0"/>
    <x v="0"/>
    <x v="1"/>
    <x v="1"/>
    <s v="10 x 1kg"/>
    <x v="0"/>
    <x v="0"/>
  </r>
  <r>
    <x v="2"/>
    <x v="111"/>
    <x v="108"/>
    <x v="3"/>
    <x v="3"/>
    <x v="0"/>
    <x v="93"/>
    <x v="0"/>
    <x v="0"/>
    <x v="0"/>
    <x v="2"/>
    <x v="1"/>
    <s v="10 x 1kg"/>
    <x v="0"/>
    <x v="0"/>
  </r>
  <r>
    <x v="1"/>
    <x v="111"/>
    <x v="108"/>
    <x v="3"/>
    <x v="3"/>
    <x v="0"/>
    <x v="9"/>
    <x v="2"/>
    <x v="1"/>
    <x v="0"/>
    <x v="1"/>
    <x v="1"/>
    <s v="10 x 1kg"/>
    <x v="0"/>
    <x v="0"/>
  </r>
  <r>
    <x v="0"/>
    <x v="112"/>
    <x v="109"/>
    <x v="29"/>
    <x v="37"/>
    <x v="0"/>
    <x v="2"/>
    <x v="0"/>
    <x v="0"/>
    <x v="0"/>
    <x v="0"/>
    <x v="1"/>
    <s v="10 x 1kg"/>
    <x v="0"/>
    <x v="0"/>
  </r>
  <r>
    <x v="1"/>
    <x v="112"/>
    <x v="109"/>
    <x v="29"/>
    <x v="37"/>
    <x v="0"/>
    <x v="65"/>
    <x v="0"/>
    <x v="0"/>
    <x v="0"/>
    <x v="1"/>
    <x v="1"/>
    <s v="10 x 1kg"/>
    <x v="0"/>
    <x v="0"/>
  </r>
  <r>
    <x v="1"/>
    <x v="112"/>
    <x v="109"/>
    <x v="29"/>
    <x v="37"/>
    <x v="0"/>
    <x v="36"/>
    <x v="2"/>
    <x v="1"/>
    <x v="0"/>
    <x v="1"/>
    <x v="1"/>
    <s v="10 x 1kg"/>
    <x v="0"/>
    <x v="0"/>
  </r>
  <r>
    <x v="2"/>
    <x v="113"/>
    <x v="110"/>
    <x v="3"/>
    <x v="3"/>
    <x v="0"/>
    <x v="94"/>
    <x v="1"/>
    <x v="5"/>
    <x v="0"/>
    <x v="2"/>
    <x v="13"/>
    <s v="5 x 2kg"/>
    <x v="3"/>
    <x v="0"/>
  </r>
  <r>
    <x v="2"/>
    <x v="114"/>
    <x v="111"/>
    <x v="3"/>
    <x v="3"/>
    <x v="0"/>
    <x v="95"/>
    <x v="0"/>
    <x v="0"/>
    <x v="0"/>
    <x v="2"/>
    <x v="1"/>
    <s v="10 x 1kg"/>
    <x v="0"/>
    <x v="0"/>
  </r>
  <r>
    <x v="0"/>
    <x v="115"/>
    <x v="112"/>
    <x v="30"/>
    <x v="38"/>
    <x v="0"/>
    <x v="81"/>
    <x v="1"/>
    <x v="0"/>
    <x v="0"/>
    <x v="0"/>
    <x v="13"/>
    <s v="5 x 2kg"/>
    <x v="1"/>
    <x v="0"/>
  </r>
  <r>
    <x v="2"/>
    <x v="116"/>
    <x v="113"/>
    <x v="31"/>
    <x v="39"/>
    <x v="8"/>
    <x v="96"/>
    <x v="0"/>
    <x v="0"/>
    <x v="0"/>
    <x v="2"/>
    <x v="0"/>
    <s v="4 x 960g"/>
    <x v="0"/>
    <x v="0"/>
  </r>
  <r>
    <x v="0"/>
    <x v="116"/>
    <x v="113"/>
    <x v="31"/>
    <x v="39"/>
    <x v="8"/>
    <x v="11"/>
    <x v="0"/>
    <x v="0"/>
    <x v="0"/>
    <x v="0"/>
    <x v="0"/>
    <s v="4 x 960g"/>
    <x v="0"/>
    <x v="0"/>
  </r>
  <r>
    <x v="2"/>
    <x v="117"/>
    <x v="114"/>
    <x v="31"/>
    <x v="39"/>
    <x v="8"/>
    <x v="97"/>
    <x v="0"/>
    <x v="0"/>
    <x v="0"/>
    <x v="2"/>
    <x v="0"/>
    <s v="4 x 960g"/>
    <x v="0"/>
    <x v="0"/>
  </r>
  <r>
    <x v="2"/>
    <x v="118"/>
    <x v="115"/>
    <x v="31"/>
    <x v="39"/>
    <x v="8"/>
    <x v="98"/>
    <x v="0"/>
    <x v="0"/>
    <x v="0"/>
    <x v="2"/>
    <x v="0"/>
    <s v="4 x 960g"/>
    <x v="0"/>
    <x v="0"/>
  </r>
  <r>
    <x v="0"/>
    <x v="118"/>
    <x v="115"/>
    <x v="31"/>
    <x v="39"/>
    <x v="8"/>
    <x v="99"/>
    <x v="0"/>
    <x v="0"/>
    <x v="0"/>
    <x v="0"/>
    <x v="0"/>
    <s v="4 x 960g"/>
    <x v="0"/>
    <x v="0"/>
  </r>
  <r>
    <x v="2"/>
    <x v="119"/>
    <x v="116"/>
    <x v="32"/>
    <x v="40"/>
    <x v="23"/>
    <x v="100"/>
    <x v="0"/>
    <x v="0"/>
    <x v="0"/>
    <x v="2"/>
    <x v="0"/>
    <s v="4 x 1kg"/>
    <x v="0"/>
    <x v="0"/>
  </r>
  <r>
    <x v="0"/>
    <x v="120"/>
    <x v="117"/>
    <x v="32"/>
    <x v="40"/>
    <x v="23"/>
    <x v="65"/>
    <x v="0"/>
    <x v="0"/>
    <x v="0"/>
    <x v="0"/>
    <x v="0"/>
    <s v="4 x 1kg"/>
    <x v="0"/>
    <x v="0"/>
  </r>
  <r>
    <x v="2"/>
    <x v="120"/>
    <x v="117"/>
    <x v="32"/>
    <x v="40"/>
    <x v="23"/>
    <x v="101"/>
    <x v="0"/>
    <x v="0"/>
    <x v="0"/>
    <x v="2"/>
    <x v="0"/>
    <s v="4 x 1kg"/>
    <x v="0"/>
    <x v="0"/>
  </r>
  <r>
    <x v="0"/>
    <x v="121"/>
    <x v="118"/>
    <x v="32"/>
    <x v="40"/>
    <x v="23"/>
    <x v="2"/>
    <x v="0"/>
    <x v="0"/>
    <x v="0"/>
    <x v="0"/>
    <x v="0"/>
    <s v="4 x 1kg"/>
    <x v="0"/>
    <x v="0"/>
  </r>
  <r>
    <x v="2"/>
    <x v="121"/>
    <x v="118"/>
    <x v="32"/>
    <x v="40"/>
    <x v="23"/>
    <x v="102"/>
    <x v="0"/>
    <x v="0"/>
    <x v="0"/>
    <x v="2"/>
    <x v="0"/>
    <s v="4 x 1kg"/>
    <x v="0"/>
    <x v="0"/>
  </r>
  <r>
    <x v="6"/>
    <x v="121"/>
    <x v="118"/>
    <x v="32"/>
    <x v="40"/>
    <x v="23"/>
    <x v="0"/>
    <x v="1"/>
    <x v="0"/>
    <x v="0"/>
    <x v="6"/>
    <x v="0"/>
    <s v="4 x 1kg"/>
    <x v="0"/>
    <x v="0"/>
  </r>
  <r>
    <x v="6"/>
    <x v="121"/>
    <x v="118"/>
    <x v="32"/>
    <x v="40"/>
    <x v="23"/>
    <x v="36"/>
    <x v="2"/>
    <x v="1"/>
    <x v="0"/>
    <x v="6"/>
    <x v="0"/>
    <s v="4 x 1kg"/>
    <x v="0"/>
    <x v="0"/>
  </r>
  <r>
    <x v="2"/>
    <x v="122"/>
    <x v="119"/>
    <x v="31"/>
    <x v="41"/>
    <x v="23"/>
    <x v="103"/>
    <x v="0"/>
    <x v="0"/>
    <x v="0"/>
    <x v="2"/>
    <x v="0"/>
    <s v="4 x 1kg"/>
    <x v="0"/>
    <x v="0"/>
  </r>
  <r>
    <x v="2"/>
    <x v="123"/>
    <x v="120"/>
    <x v="33"/>
    <x v="42"/>
    <x v="23"/>
    <x v="104"/>
    <x v="0"/>
    <x v="0"/>
    <x v="0"/>
    <x v="2"/>
    <x v="0"/>
    <s v="4 x 1kg"/>
    <x v="0"/>
    <x v="0"/>
  </r>
  <r>
    <x v="2"/>
    <x v="124"/>
    <x v="121"/>
    <x v="33"/>
    <x v="42"/>
    <x v="23"/>
    <x v="105"/>
    <x v="0"/>
    <x v="0"/>
    <x v="0"/>
    <x v="2"/>
    <x v="0"/>
    <s v="4 x 1kg"/>
    <x v="0"/>
    <x v="0"/>
  </r>
  <r>
    <x v="0"/>
    <x v="125"/>
    <x v="122"/>
    <x v="31"/>
    <x v="43"/>
    <x v="24"/>
    <x v="36"/>
    <x v="0"/>
    <x v="0"/>
    <x v="0"/>
    <x v="0"/>
    <x v="15"/>
    <s v="2 x 1.95kg"/>
    <x v="0"/>
    <x v="0"/>
  </r>
  <r>
    <x v="2"/>
    <x v="125"/>
    <x v="122"/>
    <x v="31"/>
    <x v="43"/>
    <x v="24"/>
    <x v="106"/>
    <x v="0"/>
    <x v="0"/>
    <x v="0"/>
    <x v="2"/>
    <x v="15"/>
    <s v="2 x 1.95kg"/>
    <x v="0"/>
    <x v="0"/>
  </r>
  <r>
    <x v="2"/>
    <x v="126"/>
    <x v="123"/>
    <x v="33"/>
    <x v="42"/>
    <x v="23"/>
    <x v="107"/>
    <x v="0"/>
    <x v="0"/>
    <x v="0"/>
    <x v="2"/>
    <x v="0"/>
    <s v="4 x 1kg"/>
    <x v="0"/>
    <x v="0"/>
  </r>
  <r>
    <x v="2"/>
    <x v="127"/>
    <x v="124"/>
    <x v="34"/>
    <x v="44"/>
    <x v="23"/>
    <x v="45"/>
    <x v="0"/>
    <x v="0"/>
    <x v="0"/>
    <x v="2"/>
    <x v="15"/>
    <s v="2 x 2kg"/>
    <x v="0"/>
    <x v="0"/>
  </r>
  <r>
    <x v="2"/>
    <x v="128"/>
    <x v="125"/>
    <x v="33"/>
    <x v="42"/>
    <x v="23"/>
    <x v="108"/>
    <x v="0"/>
    <x v="0"/>
    <x v="0"/>
    <x v="2"/>
    <x v="0"/>
    <s v="4 x 1kg"/>
    <x v="0"/>
    <x v="0"/>
  </r>
  <r>
    <x v="0"/>
    <x v="129"/>
    <x v="126"/>
    <x v="35"/>
    <x v="45"/>
    <x v="25"/>
    <x v="109"/>
    <x v="0"/>
    <x v="0"/>
    <x v="0"/>
    <x v="0"/>
    <x v="10"/>
    <s v="26 x 400g"/>
    <x v="2"/>
    <x v="2"/>
  </r>
  <r>
    <x v="0"/>
    <x v="130"/>
    <x v="127"/>
    <x v="36"/>
    <x v="46"/>
    <x v="14"/>
    <x v="110"/>
    <x v="0"/>
    <x v="0"/>
    <x v="0"/>
    <x v="0"/>
    <x v="6"/>
    <s v="12 x 400g"/>
    <x v="2"/>
    <x v="0"/>
  </r>
  <r>
    <x v="2"/>
    <x v="131"/>
    <x v="128"/>
    <x v="32"/>
    <x v="47"/>
    <x v="8"/>
    <x v="111"/>
    <x v="0"/>
    <x v="0"/>
    <x v="0"/>
    <x v="2"/>
    <x v="6"/>
    <s v="12 x 320g"/>
    <x v="3"/>
    <x v="0"/>
  </r>
  <r>
    <x v="2"/>
    <x v="132"/>
    <x v="129"/>
    <x v="32"/>
    <x v="47"/>
    <x v="8"/>
    <x v="112"/>
    <x v="0"/>
    <x v="0"/>
    <x v="0"/>
    <x v="2"/>
    <x v="6"/>
    <s v="12 x 320g"/>
    <x v="3"/>
    <x v="0"/>
  </r>
  <r>
    <x v="2"/>
    <x v="133"/>
    <x v="130"/>
    <x v="32"/>
    <x v="47"/>
    <x v="8"/>
    <x v="113"/>
    <x v="0"/>
    <x v="0"/>
    <x v="0"/>
    <x v="2"/>
    <x v="6"/>
    <s v="12 x 320g"/>
    <x v="3"/>
    <x v="0"/>
  </r>
  <r>
    <x v="2"/>
    <x v="134"/>
    <x v="131"/>
    <x v="37"/>
    <x v="48"/>
    <x v="14"/>
    <x v="114"/>
    <x v="0"/>
    <x v="0"/>
    <x v="0"/>
    <x v="2"/>
    <x v="6"/>
    <s v="12 x 400g"/>
    <x v="2"/>
    <x v="0"/>
  </r>
  <r>
    <x v="1"/>
    <x v="135"/>
    <x v="132"/>
    <x v="38"/>
    <x v="49"/>
    <x v="8"/>
    <x v="109"/>
    <x v="0"/>
    <x v="0"/>
    <x v="0"/>
    <x v="1"/>
    <x v="6"/>
    <s v="12 x 320g"/>
    <x v="2"/>
    <x v="2"/>
  </r>
  <r>
    <x v="1"/>
    <x v="135"/>
    <x v="132"/>
    <x v="38"/>
    <x v="49"/>
    <x v="8"/>
    <x v="99"/>
    <x v="2"/>
    <x v="1"/>
    <x v="0"/>
    <x v="1"/>
    <x v="6"/>
    <s v="12 x 320g"/>
    <x v="2"/>
    <x v="2"/>
  </r>
  <r>
    <x v="1"/>
    <x v="136"/>
    <x v="133"/>
    <x v="38"/>
    <x v="49"/>
    <x v="8"/>
    <x v="9"/>
    <x v="0"/>
    <x v="0"/>
    <x v="0"/>
    <x v="1"/>
    <x v="6"/>
    <s v="12 x 320g"/>
    <x v="2"/>
    <x v="0"/>
  </r>
  <r>
    <x v="1"/>
    <x v="136"/>
    <x v="133"/>
    <x v="38"/>
    <x v="49"/>
    <x v="8"/>
    <x v="99"/>
    <x v="2"/>
    <x v="1"/>
    <x v="0"/>
    <x v="1"/>
    <x v="6"/>
    <s v="12 x 320g"/>
    <x v="2"/>
    <x v="0"/>
  </r>
  <r>
    <x v="1"/>
    <x v="137"/>
    <x v="134"/>
    <x v="39"/>
    <x v="50"/>
    <x v="8"/>
    <x v="9"/>
    <x v="0"/>
    <x v="0"/>
    <x v="0"/>
    <x v="1"/>
    <x v="6"/>
    <s v="12 x 320g"/>
    <x v="2"/>
    <x v="0"/>
  </r>
  <r>
    <x v="1"/>
    <x v="138"/>
    <x v="135"/>
    <x v="40"/>
    <x v="51"/>
    <x v="5"/>
    <x v="40"/>
    <x v="0"/>
    <x v="0"/>
    <x v="0"/>
    <x v="1"/>
    <x v="6"/>
    <s v="12 x 360g"/>
    <x v="2"/>
    <x v="0"/>
  </r>
  <r>
    <x v="0"/>
    <x v="139"/>
    <x v="136"/>
    <x v="37"/>
    <x v="4"/>
    <x v="26"/>
    <x v="39"/>
    <x v="0"/>
    <x v="0"/>
    <x v="0"/>
    <x v="0"/>
    <x v="6"/>
    <s v="12 x 400g"/>
    <x v="2"/>
    <x v="0"/>
  </r>
  <r>
    <x v="2"/>
    <x v="140"/>
    <x v="137"/>
    <x v="37"/>
    <x v="4"/>
    <x v="26"/>
    <x v="11"/>
    <x v="0"/>
    <x v="0"/>
    <x v="0"/>
    <x v="2"/>
    <x v="6"/>
    <s v="12 x 400g"/>
    <x v="2"/>
    <x v="0"/>
  </r>
  <r>
    <x v="6"/>
    <x v="141"/>
    <x v="138"/>
    <x v="30"/>
    <x v="38"/>
    <x v="0"/>
    <x v="17"/>
    <x v="1"/>
    <x v="6"/>
    <x v="0"/>
    <x v="6"/>
    <x v="1"/>
    <s v="10 x 1kg"/>
    <x v="3"/>
    <x v="0"/>
  </r>
  <r>
    <x v="6"/>
    <x v="141"/>
    <x v="138"/>
    <x v="30"/>
    <x v="38"/>
    <x v="0"/>
    <x v="2"/>
    <x v="2"/>
    <x v="1"/>
    <x v="0"/>
    <x v="6"/>
    <x v="1"/>
    <s v="10 x 1kg"/>
    <x v="3"/>
    <x v="0"/>
  </r>
  <r>
    <x v="2"/>
    <x v="142"/>
    <x v="139"/>
    <x v="9"/>
    <x v="52"/>
    <x v="20"/>
    <x v="83"/>
    <x v="0"/>
    <x v="0"/>
    <x v="0"/>
    <x v="2"/>
    <x v="16"/>
    <s v="6 x 1kg"/>
    <x v="1"/>
    <x v="0"/>
  </r>
  <r>
    <x v="6"/>
    <x v="143"/>
    <x v="140"/>
    <x v="30"/>
    <x v="38"/>
    <x v="0"/>
    <x v="31"/>
    <x v="8"/>
    <x v="6"/>
    <x v="0"/>
    <x v="6"/>
    <x v="1"/>
    <s v="10 x 1kg"/>
    <x v="3"/>
    <x v="0"/>
  </r>
  <r>
    <x v="6"/>
    <x v="143"/>
    <x v="140"/>
    <x v="30"/>
    <x v="38"/>
    <x v="0"/>
    <x v="65"/>
    <x v="2"/>
    <x v="1"/>
    <x v="0"/>
    <x v="6"/>
    <x v="1"/>
    <s v="10 x 1kg"/>
    <x v="3"/>
    <x v="0"/>
  </r>
  <r>
    <x v="6"/>
    <x v="144"/>
    <x v="141"/>
    <x v="30"/>
    <x v="38"/>
    <x v="0"/>
    <x v="46"/>
    <x v="8"/>
    <x v="0"/>
    <x v="0"/>
    <x v="6"/>
    <x v="1"/>
    <s v="10 x 1kg"/>
    <x v="3"/>
    <x v="0"/>
  </r>
  <r>
    <x v="6"/>
    <x v="144"/>
    <x v="141"/>
    <x v="30"/>
    <x v="38"/>
    <x v="0"/>
    <x v="36"/>
    <x v="2"/>
    <x v="1"/>
    <x v="0"/>
    <x v="6"/>
    <x v="1"/>
    <s v="10 x 1kg"/>
    <x v="3"/>
    <x v="0"/>
  </r>
  <r>
    <x v="0"/>
    <x v="145"/>
    <x v="142"/>
    <x v="41"/>
    <x v="53"/>
    <x v="27"/>
    <x v="46"/>
    <x v="8"/>
    <x v="0"/>
    <x v="0"/>
    <x v="0"/>
    <x v="1"/>
    <s v="10 x 1.05kg"/>
    <x v="3"/>
    <x v="0"/>
  </r>
  <r>
    <x v="0"/>
    <x v="145"/>
    <x v="142"/>
    <x v="41"/>
    <x v="53"/>
    <x v="27"/>
    <x v="31"/>
    <x v="2"/>
    <x v="1"/>
    <x v="0"/>
    <x v="0"/>
    <x v="1"/>
    <s v="10 x 1.05kg"/>
    <x v="3"/>
    <x v="0"/>
  </r>
  <r>
    <x v="7"/>
    <x v="146"/>
    <x v="143"/>
    <x v="42"/>
    <x v="54"/>
    <x v="17"/>
    <x v="45"/>
    <x v="0"/>
    <x v="0"/>
    <x v="0"/>
    <x v="7"/>
    <x v="1"/>
    <s v="10 x 960g"/>
    <x v="3"/>
    <x v="0"/>
  </r>
  <r>
    <x v="0"/>
    <x v="146"/>
    <x v="143"/>
    <x v="42"/>
    <x v="54"/>
    <x v="17"/>
    <x v="9"/>
    <x v="9"/>
    <x v="0"/>
    <x v="0"/>
    <x v="0"/>
    <x v="1"/>
    <s v="10 x 960g"/>
    <x v="3"/>
    <x v="0"/>
  </r>
  <r>
    <x v="0"/>
    <x v="146"/>
    <x v="143"/>
    <x v="42"/>
    <x v="54"/>
    <x v="17"/>
    <x v="36"/>
    <x v="2"/>
    <x v="1"/>
    <x v="0"/>
    <x v="0"/>
    <x v="1"/>
    <s v="10 x 960g"/>
    <x v="3"/>
    <x v="0"/>
  </r>
  <r>
    <x v="0"/>
    <x v="147"/>
    <x v="144"/>
    <x v="41"/>
    <x v="53"/>
    <x v="27"/>
    <x v="17"/>
    <x v="0"/>
    <x v="0"/>
    <x v="0"/>
    <x v="0"/>
    <x v="1"/>
    <s v="10 x 1.05kg"/>
    <x v="3"/>
    <x v="0"/>
  </r>
  <r>
    <x v="0"/>
    <x v="147"/>
    <x v="144"/>
    <x v="41"/>
    <x v="53"/>
    <x v="27"/>
    <x v="31"/>
    <x v="8"/>
    <x v="0"/>
    <x v="0"/>
    <x v="0"/>
    <x v="1"/>
    <s v="10 x 1.05kg"/>
    <x v="3"/>
    <x v="0"/>
  </r>
  <r>
    <x v="0"/>
    <x v="147"/>
    <x v="144"/>
    <x v="41"/>
    <x v="53"/>
    <x v="27"/>
    <x v="0"/>
    <x v="2"/>
    <x v="1"/>
    <x v="0"/>
    <x v="0"/>
    <x v="1"/>
    <s v="10 x 1.05kg"/>
    <x v="3"/>
    <x v="0"/>
  </r>
  <r>
    <x v="0"/>
    <x v="148"/>
    <x v="145"/>
    <x v="30"/>
    <x v="38"/>
    <x v="0"/>
    <x v="39"/>
    <x v="0"/>
    <x v="0"/>
    <x v="0"/>
    <x v="0"/>
    <x v="1"/>
    <s v="10 x 1kg"/>
    <x v="3"/>
    <x v="0"/>
  </r>
  <r>
    <x v="0"/>
    <x v="148"/>
    <x v="145"/>
    <x v="30"/>
    <x v="38"/>
    <x v="0"/>
    <x v="7"/>
    <x v="2"/>
    <x v="1"/>
    <x v="0"/>
    <x v="0"/>
    <x v="1"/>
    <s v="10 x 1kg"/>
    <x v="3"/>
    <x v="0"/>
  </r>
  <r>
    <x v="0"/>
    <x v="149"/>
    <x v="146"/>
    <x v="43"/>
    <x v="55"/>
    <x v="0"/>
    <x v="31"/>
    <x v="10"/>
    <x v="0"/>
    <x v="0"/>
    <x v="0"/>
    <x v="1"/>
    <s v="10 x 1kg"/>
    <x v="3"/>
    <x v="0"/>
  </r>
  <r>
    <x v="7"/>
    <x v="149"/>
    <x v="146"/>
    <x v="43"/>
    <x v="55"/>
    <x v="0"/>
    <x v="31"/>
    <x v="10"/>
    <x v="0"/>
    <x v="0"/>
    <x v="7"/>
    <x v="1"/>
    <s v="10 x 1kg"/>
    <x v="3"/>
    <x v="0"/>
  </r>
  <r>
    <x v="0"/>
    <x v="149"/>
    <x v="146"/>
    <x v="43"/>
    <x v="55"/>
    <x v="0"/>
    <x v="0"/>
    <x v="2"/>
    <x v="1"/>
    <x v="0"/>
    <x v="0"/>
    <x v="1"/>
    <s v="10 x 1kg"/>
    <x v="3"/>
    <x v="0"/>
  </r>
  <r>
    <x v="0"/>
    <x v="150"/>
    <x v="147"/>
    <x v="44"/>
    <x v="56"/>
    <x v="0"/>
    <x v="7"/>
    <x v="0"/>
    <x v="0"/>
    <x v="0"/>
    <x v="0"/>
    <x v="1"/>
    <s v="10 x 1kg"/>
    <x v="3"/>
    <x v="0"/>
  </r>
  <r>
    <x v="0"/>
    <x v="150"/>
    <x v="147"/>
    <x v="44"/>
    <x v="56"/>
    <x v="0"/>
    <x v="7"/>
    <x v="2"/>
    <x v="1"/>
    <x v="0"/>
    <x v="0"/>
    <x v="1"/>
    <s v="10 x 1kg"/>
    <x v="3"/>
    <x v="0"/>
  </r>
  <r>
    <x v="2"/>
    <x v="151"/>
    <x v="148"/>
    <x v="45"/>
    <x v="57"/>
    <x v="14"/>
    <x v="115"/>
    <x v="0"/>
    <x v="0"/>
    <x v="0"/>
    <x v="2"/>
    <x v="13"/>
    <s v="5 x 960g"/>
    <x v="3"/>
    <x v="0"/>
  </r>
  <r>
    <x v="2"/>
    <x v="151"/>
    <x v="148"/>
    <x v="45"/>
    <x v="57"/>
    <x v="14"/>
    <x v="115"/>
    <x v="2"/>
    <x v="1"/>
    <x v="0"/>
    <x v="2"/>
    <x v="13"/>
    <s v="5 x 960g"/>
    <x v="3"/>
    <x v="0"/>
  </r>
  <r>
    <x v="2"/>
    <x v="152"/>
    <x v="148"/>
    <x v="45"/>
    <x v="57"/>
    <x v="14"/>
    <x v="96"/>
    <x v="0"/>
    <x v="0"/>
    <x v="0"/>
    <x v="2"/>
    <x v="13"/>
    <s v="5 x 960g"/>
    <x v="3"/>
    <x v="0"/>
  </r>
  <r>
    <x v="2"/>
    <x v="153"/>
    <x v="149"/>
    <x v="45"/>
    <x v="57"/>
    <x v="14"/>
    <x v="116"/>
    <x v="0"/>
    <x v="0"/>
    <x v="0"/>
    <x v="2"/>
    <x v="13"/>
    <s v="5 x 0.96kg"/>
    <x v="3"/>
    <x v="0"/>
  </r>
  <r>
    <x v="2"/>
    <x v="154"/>
    <x v="150"/>
    <x v="45"/>
    <x v="57"/>
    <x v="14"/>
    <x v="117"/>
    <x v="0"/>
    <x v="0"/>
    <x v="0"/>
    <x v="2"/>
    <x v="13"/>
    <s v="5 x 960g"/>
    <x v="3"/>
    <x v="0"/>
  </r>
  <r>
    <x v="0"/>
    <x v="154"/>
    <x v="150"/>
    <x v="45"/>
    <x v="57"/>
    <x v="14"/>
    <x v="99"/>
    <x v="0"/>
    <x v="0"/>
    <x v="0"/>
    <x v="0"/>
    <x v="13"/>
    <s v="5 x 960g"/>
    <x v="3"/>
    <x v="0"/>
  </r>
  <r>
    <x v="2"/>
    <x v="155"/>
    <x v="150"/>
    <x v="45"/>
    <x v="57"/>
    <x v="14"/>
    <x v="98"/>
    <x v="0"/>
    <x v="0"/>
    <x v="0"/>
    <x v="2"/>
    <x v="13"/>
    <s v="5 x 960g"/>
    <x v="3"/>
    <x v="0"/>
  </r>
  <r>
    <x v="2"/>
    <x v="156"/>
    <x v="151"/>
    <x v="32"/>
    <x v="3"/>
    <x v="28"/>
    <x v="118"/>
    <x v="0"/>
    <x v="0"/>
    <x v="0"/>
    <x v="2"/>
    <x v="13"/>
    <s v="5 x 1kg"/>
    <x v="3"/>
    <x v="0"/>
  </r>
  <r>
    <x v="6"/>
    <x v="156"/>
    <x v="151"/>
    <x v="32"/>
    <x v="3"/>
    <x v="28"/>
    <x v="7"/>
    <x v="2"/>
    <x v="1"/>
    <x v="0"/>
    <x v="6"/>
    <x v="13"/>
    <s v="5 x 1kg"/>
    <x v="3"/>
    <x v="0"/>
  </r>
  <r>
    <x v="0"/>
    <x v="157"/>
    <x v="152"/>
    <x v="32"/>
    <x v="3"/>
    <x v="28"/>
    <x v="0"/>
    <x v="0"/>
    <x v="0"/>
    <x v="0"/>
    <x v="0"/>
    <x v="13"/>
    <s v="5 x 1kg"/>
    <x v="3"/>
    <x v="0"/>
  </r>
  <r>
    <x v="2"/>
    <x v="157"/>
    <x v="152"/>
    <x v="32"/>
    <x v="3"/>
    <x v="28"/>
    <x v="119"/>
    <x v="0"/>
    <x v="0"/>
    <x v="0"/>
    <x v="2"/>
    <x v="13"/>
    <s v="5 x 1kg"/>
    <x v="3"/>
    <x v="0"/>
  </r>
  <r>
    <x v="0"/>
    <x v="157"/>
    <x v="152"/>
    <x v="32"/>
    <x v="3"/>
    <x v="28"/>
    <x v="109"/>
    <x v="2"/>
    <x v="1"/>
    <x v="0"/>
    <x v="0"/>
    <x v="13"/>
    <s v="5 x 1kg"/>
    <x v="3"/>
    <x v="0"/>
  </r>
  <r>
    <x v="2"/>
    <x v="158"/>
    <x v="153"/>
    <x v="33"/>
    <x v="58"/>
    <x v="28"/>
    <x v="120"/>
    <x v="0"/>
    <x v="0"/>
    <x v="0"/>
    <x v="2"/>
    <x v="13"/>
    <s v="5 x 1kg"/>
    <x v="3"/>
    <x v="0"/>
  </r>
  <r>
    <x v="6"/>
    <x v="158"/>
    <x v="153"/>
    <x v="33"/>
    <x v="58"/>
    <x v="28"/>
    <x v="99"/>
    <x v="1"/>
    <x v="0"/>
    <x v="0"/>
    <x v="6"/>
    <x v="13"/>
    <s v="5 x 1kg"/>
    <x v="3"/>
    <x v="0"/>
  </r>
  <r>
    <x v="6"/>
    <x v="158"/>
    <x v="153"/>
    <x v="33"/>
    <x v="58"/>
    <x v="28"/>
    <x v="36"/>
    <x v="2"/>
    <x v="1"/>
    <x v="0"/>
    <x v="6"/>
    <x v="13"/>
    <s v="5 x 1kg"/>
    <x v="3"/>
    <x v="0"/>
  </r>
  <r>
    <x v="2"/>
    <x v="159"/>
    <x v="154"/>
    <x v="33"/>
    <x v="42"/>
    <x v="23"/>
    <x v="105"/>
    <x v="0"/>
    <x v="0"/>
    <x v="0"/>
    <x v="2"/>
    <x v="0"/>
    <s v="4 x 1kg"/>
    <x v="3"/>
    <x v="0"/>
  </r>
  <r>
    <x v="5"/>
    <x v="160"/>
    <x v="155"/>
    <x v="46"/>
    <x v="59"/>
    <x v="29"/>
    <x v="121"/>
    <x v="0"/>
    <x v="0"/>
    <x v="0"/>
    <x v="5"/>
    <x v="4"/>
    <s v="24 x 320g"/>
    <x v="2"/>
    <x v="1"/>
  </r>
  <r>
    <x v="5"/>
    <x v="161"/>
    <x v="156"/>
    <x v="6"/>
    <x v="60"/>
    <x v="30"/>
    <x v="122"/>
    <x v="0"/>
    <x v="0"/>
    <x v="0"/>
    <x v="5"/>
    <x v="4"/>
    <s v="24 x 224g"/>
    <x v="2"/>
    <x v="1"/>
  </r>
  <r>
    <x v="5"/>
    <x v="162"/>
    <x v="157"/>
    <x v="6"/>
    <x v="61"/>
    <x v="20"/>
    <x v="123"/>
    <x v="0"/>
    <x v="0"/>
    <x v="0"/>
    <x v="5"/>
    <x v="4"/>
    <s v="24 x 250g"/>
    <x v="2"/>
    <x v="4"/>
  </r>
  <r>
    <x v="1"/>
    <x v="163"/>
    <x v="158"/>
    <x v="45"/>
    <x v="62"/>
    <x v="23"/>
    <x v="124"/>
    <x v="0"/>
    <x v="0"/>
    <x v="0"/>
    <x v="1"/>
    <x v="0"/>
    <s v="4 x 1kg"/>
    <x v="0"/>
    <x v="0"/>
  </r>
  <r>
    <x v="1"/>
    <x v="163"/>
    <x v="158"/>
    <x v="45"/>
    <x v="62"/>
    <x v="23"/>
    <x v="124"/>
    <x v="2"/>
    <x v="1"/>
    <x v="0"/>
    <x v="1"/>
    <x v="0"/>
    <s v="4 x 1kg"/>
    <x v="0"/>
    <x v="0"/>
  </r>
  <r>
    <x v="1"/>
    <x v="164"/>
    <x v="159"/>
    <x v="45"/>
    <x v="63"/>
    <x v="8"/>
    <x v="125"/>
    <x v="0"/>
    <x v="0"/>
    <x v="0"/>
    <x v="1"/>
    <x v="0"/>
    <s v="4 x 960g"/>
    <x v="0"/>
    <x v="0"/>
  </r>
  <r>
    <x v="1"/>
    <x v="164"/>
    <x v="159"/>
    <x v="45"/>
    <x v="63"/>
    <x v="8"/>
    <x v="125"/>
    <x v="2"/>
    <x v="1"/>
    <x v="0"/>
    <x v="1"/>
    <x v="0"/>
    <s v="4 x 960g"/>
    <x v="0"/>
    <x v="0"/>
  </r>
  <r>
    <x v="1"/>
    <x v="165"/>
    <x v="160"/>
    <x v="45"/>
    <x v="63"/>
    <x v="8"/>
    <x v="126"/>
    <x v="0"/>
    <x v="0"/>
    <x v="0"/>
    <x v="1"/>
    <x v="0"/>
    <s v="4 x 960g"/>
    <x v="0"/>
    <x v="0"/>
  </r>
  <r>
    <x v="1"/>
    <x v="165"/>
    <x v="160"/>
    <x v="45"/>
    <x v="63"/>
    <x v="8"/>
    <x v="126"/>
    <x v="2"/>
    <x v="1"/>
    <x v="0"/>
    <x v="1"/>
    <x v="0"/>
    <s v="4 x 960g"/>
    <x v="0"/>
    <x v="0"/>
  </r>
  <r>
    <x v="1"/>
    <x v="166"/>
    <x v="161"/>
    <x v="45"/>
    <x v="63"/>
    <x v="8"/>
    <x v="126"/>
    <x v="0"/>
    <x v="0"/>
    <x v="0"/>
    <x v="1"/>
    <x v="0"/>
    <s v="4 x 960g"/>
    <x v="0"/>
    <x v="0"/>
  </r>
  <r>
    <x v="1"/>
    <x v="166"/>
    <x v="161"/>
    <x v="45"/>
    <x v="63"/>
    <x v="8"/>
    <x v="126"/>
    <x v="2"/>
    <x v="1"/>
    <x v="0"/>
    <x v="1"/>
    <x v="0"/>
    <s v="4 x 960g"/>
    <x v="0"/>
    <x v="0"/>
  </r>
  <r>
    <x v="1"/>
    <x v="167"/>
    <x v="162"/>
    <x v="47"/>
    <x v="64"/>
    <x v="24"/>
    <x v="126"/>
    <x v="0"/>
    <x v="0"/>
    <x v="0"/>
    <x v="1"/>
    <x v="15"/>
    <s v="2 x 1.95kg"/>
    <x v="0"/>
    <x v="0"/>
  </r>
  <r>
    <x v="1"/>
    <x v="167"/>
    <x v="162"/>
    <x v="47"/>
    <x v="64"/>
    <x v="24"/>
    <x v="126"/>
    <x v="2"/>
    <x v="1"/>
    <x v="0"/>
    <x v="1"/>
    <x v="15"/>
    <s v="2 x 1.95kg"/>
    <x v="0"/>
    <x v="0"/>
  </r>
  <r>
    <x v="1"/>
    <x v="168"/>
    <x v="163"/>
    <x v="47"/>
    <x v="64"/>
    <x v="24"/>
    <x v="126"/>
    <x v="0"/>
    <x v="0"/>
    <x v="0"/>
    <x v="1"/>
    <x v="15"/>
    <s v="2 x 1.95kg"/>
    <x v="0"/>
    <x v="0"/>
  </r>
  <r>
    <x v="1"/>
    <x v="168"/>
    <x v="163"/>
    <x v="47"/>
    <x v="64"/>
    <x v="24"/>
    <x v="126"/>
    <x v="2"/>
    <x v="1"/>
    <x v="0"/>
    <x v="1"/>
    <x v="15"/>
    <s v="2 x 1.95kg"/>
    <x v="0"/>
    <x v="0"/>
  </r>
  <r>
    <x v="8"/>
    <x v="169"/>
    <x v="164"/>
    <x v="29"/>
    <x v="37"/>
    <x v="0"/>
    <x v="127"/>
    <x v="0"/>
    <x v="0"/>
    <x v="0"/>
    <x v="8"/>
    <x v="1"/>
    <s v="10 x 1kg"/>
    <x v="0"/>
    <x v="5"/>
  </r>
  <r>
    <x v="8"/>
    <x v="169"/>
    <x v="164"/>
    <x v="29"/>
    <x v="37"/>
    <x v="0"/>
    <x v="128"/>
    <x v="2"/>
    <x v="3"/>
    <x v="0"/>
    <x v="8"/>
    <x v="1"/>
    <s v="10 x 1kg"/>
    <x v="0"/>
    <x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7">
  <r>
    <x v="0"/>
    <x v="0"/>
    <x v="0"/>
    <x v="0"/>
    <x v="0"/>
    <x v="0"/>
    <x v="0"/>
    <x v="0"/>
    <x v="0"/>
    <x v="0"/>
  </r>
  <r>
    <x v="0"/>
    <x v="1"/>
    <x v="1"/>
    <x v="1"/>
    <x v="1"/>
    <x v="0"/>
    <x v="0"/>
    <x v="0"/>
    <x v="1"/>
    <x v="1"/>
  </r>
  <r>
    <x v="0"/>
    <x v="2"/>
    <x v="2"/>
    <x v="1"/>
    <x v="1"/>
    <x v="0"/>
    <x v="0"/>
    <x v="0"/>
    <x v="1"/>
    <x v="2"/>
  </r>
  <r>
    <x v="0"/>
    <x v="3"/>
    <x v="3"/>
    <x v="1"/>
    <x v="1"/>
    <x v="0"/>
    <x v="0"/>
    <x v="0"/>
    <x v="1"/>
    <x v="3"/>
  </r>
  <r>
    <x v="0"/>
    <x v="4"/>
    <x v="4"/>
    <x v="2"/>
    <x v="2"/>
    <x v="0"/>
    <x v="0"/>
    <x v="0"/>
    <x v="0"/>
    <x v="4"/>
  </r>
  <r>
    <x v="0"/>
    <x v="5"/>
    <x v="5"/>
    <x v="0"/>
    <x v="0"/>
    <x v="0"/>
    <x v="0"/>
    <x v="0"/>
    <x v="1"/>
    <x v="5"/>
  </r>
  <r>
    <x v="0"/>
    <x v="6"/>
    <x v="6"/>
    <x v="0"/>
    <x v="0"/>
    <x v="0"/>
    <x v="0"/>
    <x v="0"/>
    <x v="1"/>
    <x v="6"/>
  </r>
  <r>
    <x v="0"/>
    <x v="7"/>
    <x v="7"/>
    <x v="0"/>
    <x v="0"/>
    <x v="0"/>
    <x v="0"/>
    <x v="0"/>
    <x v="1"/>
    <x v="7"/>
  </r>
  <r>
    <x v="0"/>
    <x v="8"/>
    <x v="8"/>
    <x v="2"/>
    <x v="3"/>
    <x v="1"/>
    <x v="0"/>
    <x v="0"/>
    <x v="2"/>
    <x v="8"/>
  </r>
  <r>
    <x v="0"/>
    <x v="9"/>
    <x v="9"/>
    <x v="2"/>
    <x v="3"/>
    <x v="1"/>
    <x v="0"/>
    <x v="0"/>
    <x v="2"/>
    <x v="9"/>
  </r>
  <r>
    <x v="0"/>
    <x v="10"/>
    <x v="10"/>
    <x v="2"/>
    <x v="4"/>
    <x v="2"/>
    <x v="0"/>
    <x v="0"/>
    <x v="2"/>
    <x v="10"/>
  </r>
  <r>
    <x v="0"/>
    <x v="11"/>
    <x v="11"/>
    <x v="2"/>
    <x v="4"/>
    <x v="2"/>
    <x v="0"/>
    <x v="0"/>
    <x v="2"/>
    <x v="11"/>
  </r>
  <r>
    <x v="0"/>
    <x v="12"/>
    <x v="12"/>
    <x v="2"/>
    <x v="4"/>
    <x v="2"/>
    <x v="0"/>
    <x v="0"/>
    <x v="2"/>
    <x v="12"/>
  </r>
  <r>
    <x v="0"/>
    <x v="13"/>
    <x v="13"/>
    <x v="2"/>
    <x v="4"/>
    <x v="2"/>
    <x v="0"/>
    <x v="0"/>
    <x v="2"/>
    <x v="13"/>
  </r>
  <r>
    <x v="0"/>
    <x v="14"/>
    <x v="14"/>
    <x v="2"/>
    <x v="3"/>
    <x v="1"/>
    <x v="0"/>
    <x v="0"/>
    <x v="2"/>
    <x v="14"/>
  </r>
  <r>
    <x v="0"/>
    <x v="15"/>
    <x v="15"/>
    <x v="2"/>
    <x v="4"/>
    <x v="2"/>
    <x v="0"/>
    <x v="0"/>
    <x v="2"/>
    <x v="0"/>
  </r>
  <r>
    <x v="0"/>
    <x v="16"/>
    <x v="16"/>
    <x v="3"/>
    <x v="5"/>
    <x v="3"/>
    <x v="0"/>
    <x v="0"/>
    <x v="3"/>
    <x v="15"/>
  </r>
  <r>
    <x v="0"/>
    <x v="17"/>
    <x v="17"/>
    <x v="3"/>
    <x v="5"/>
    <x v="3"/>
    <x v="0"/>
    <x v="0"/>
    <x v="3"/>
    <x v="16"/>
  </r>
  <r>
    <x v="0"/>
    <x v="18"/>
    <x v="18"/>
    <x v="4"/>
    <x v="6"/>
    <x v="4"/>
    <x v="0"/>
    <x v="0"/>
    <x v="4"/>
    <x v="17"/>
  </r>
  <r>
    <x v="0"/>
    <x v="19"/>
    <x v="19"/>
    <x v="5"/>
    <x v="7"/>
    <x v="5"/>
    <x v="0"/>
    <x v="0"/>
    <x v="2"/>
    <x v="18"/>
  </r>
  <r>
    <x v="0"/>
    <x v="20"/>
    <x v="20"/>
    <x v="3"/>
    <x v="5"/>
    <x v="3"/>
    <x v="0"/>
    <x v="0"/>
    <x v="3"/>
    <x v="19"/>
  </r>
  <r>
    <x v="0"/>
    <x v="21"/>
    <x v="21"/>
    <x v="6"/>
    <x v="8"/>
    <x v="1"/>
    <x v="0"/>
    <x v="0"/>
    <x v="5"/>
    <x v="20"/>
  </r>
  <r>
    <x v="0"/>
    <x v="22"/>
    <x v="22"/>
    <x v="6"/>
    <x v="8"/>
    <x v="1"/>
    <x v="0"/>
    <x v="0"/>
    <x v="5"/>
    <x v="21"/>
  </r>
  <r>
    <x v="0"/>
    <x v="23"/>
    <x v="23"/>
    <x v="6"/>
    <x v="8"/>
    <x v="1"/>
    <x v="0"/>
    <x v="0"/>
    <x v="5"/>
    <x v="22"/>
  </r>
  <r>
    <x v="0"/>
    <x v="24"/>
    <x v="24"/>
    <x v="7"/>
    <x v="9"/>
    <x v="6"/>
    <x v="0"/>
    <x v="0"/>
    <x v="3"/>
    <x v="23"/>
  </r>
  <r>
    <x v="0"/>
    <x v="25"/>
    <x v="25"/>
    <x v="7"/>
    <x v="9"/>
    <x v="6"/>
    <x v="1"/>
    <x v="0"/>
    <x v="3"/>
    <x v="24"/>
  </r>
  <r>
    <x v="0"/>
    <x v="26"/>
    <x v="26"/>
    <x v="7"/>
    <x v="9"/>
    <x v="6"/>
    <x v="0"/>
    <x v="0"/>
    <x v="3"/>
    <x v="25"/>
  </r>
  <r>
    <x v="0"/>
    <x v="27"/>
    <x v="27"/>
    <x v="2"/>
    <x v="3"/>
    <x v="1"/>
    <x v="0"/>
    <x v="0"/>
    <x v="2"/>
    <x v="26"/>
  </r>
  <r>
    <x v="0"/>
    <x v="28"/>
    <x v="28"/>
    <x v="2"/>
    <x v="3"/>
    <x v="1"/>
    <x v="0"/>
    <x v="0"/>
    <x v="2"/>
    <x v="27"/>
  </r>
  <r>
    <x v="0"/>
    <x v="29"/>
    <x v="29"/>
    <x v="2"/>
    <x v="3"/>
    <x v="1"/>
    <x v="0"/>
    <x v="0"/>
    <x v="2"/>
    <x v="28"/>
  </r>
  <r>
    <x v="0"/>
    <x v="30"/>
    <x v="30"/>
    <x v="7"/>
    <x v="9"/>
    <x v="6"/>
    <x v="0"/>
    <x v="0"/>
    <x v="3"/>
    <x v="29"/>
  </r>
  <r>
    <x v="0"/>
    <x v="31"/>
    <x v="31"/>
    <x v="7"/>
    <x v="9"/>
    <x v="6"/>
    <x v="0"/>
    <x v="0"/>
    <x v="3"/>
    <x v="30"/>
  </r>
  <r>
    <x v="0"/>
    <x v="32"/>
    <x v="32"/>
    <x v="3"/>
    <x v="10"/>
    <x v="6"/>
    <x v="0"/>
    <x v="0"/>
    <x v="3"/>
    <x v="31"/>
  </r>
  <r>
    <x v="0"/>
    <x v="33"/>
    <x v="33"/>
    <x v="0"/>
    <x v="11"/>
    <x v="7"/>
    <x v="0"/>
    <x v="0"/>
    <x v="1"/>
    <x v="32"/>
  </r>
  <r>
    <x v="0"/>
    <x v="34"/>
    <x v="34"/>
    <x v="2"/>
    <x v="2"/>
    <x v="0"/>
    <x v="0"/>
    <x v="0"/>
    <x v="1"/>
    <x v="33"/>
  </r>
  <r>
    <x v="0"/>
    <x v="35"/>
    <x v="35"/>
    <x v="2"/>
    <x v="2"/>
    <x v="0"/>
    <x v="0"/>
    <x v="0"/>
    <x v="1"/>
    <x v="34"/>
  </r>
  <r>
    <x v="0"/>
    <x v="36"/>
    <x v="36"/>
    <x v="8"/>
    <x v="12"/>
    <x v="8"/>
    <x v="0"/>
    <x v="0"/>
    <x v="6"/>
    <x v="35"/>
  </r>
  <r>
    <x v="0"/>
    <x v="37"/>
    <x v="37"/>
    <x v="0"/>
    <x v="0"/>
    <x v="0"/>
    <x v="0"/>
    <x v="0"/>
    <x v="7"/>
    <x v="36"/>
  </r>
  <r>
    <x v="0"/>
    <x v="38"/>
    <x v="38"/>
    <x v="2"/>
    <x v="2"/>
    <x v="0"/>
    <x v="0"/>
    <x v="0"/>
    <x v="1"/>
    <x v="37"/>
  </r>
  <r>
    <x v="0"/>
    <x v="39"/>
    <x v="39"/>
    <x v="2"/>
    <x v="13"/>
    <x v="9"/>
    <x v="0"/>
    <x v="0"/>
    <x v="1"/>
    <x v="38"/>
  </r>
  <r>
    <x v="0"/>
    <x v="40"/>
    <x v="40"/>
    <x v="2"/>
    <x v="2"/>
    <x v="0"/>
    <x v="0"/>
    <x v="0"/>
    <x v="7"/>
    <x v="39"/>
  </r>
  <r>
    <x v="0"/>
    <x v="41"/>
    <x v="41"/>
    <x v="2"/>
    <x v="2"/>
    <x v="0"/>
    <x v="0"/>
    <x v="0"/>
    <x v="1"/>
    <x v="40"/>
  </r>
  <r>
    <x v="0"/>
    <x v="42"/>
    <x v="42"/>
    <x v="2"/>
    <x v="2"/>
    <x v="0"/>
    <x v="0"/>
    <x v="0"/>
    <x v="1"/>
    <x v="41"/>
  </r>
  <r>
    <x v="0"/>
    <x v="43"/>
    <x v="43"/>
    <x v="0"/>
    <x v="0"/>
    <x v="0"/>
    <x v="0"/>
    <x v="0"/>
    <x v="7"/>
    <x v="42"/>
  </r>
  <r>
    <x v="0"/>
    <x v="44"/>
    <x v="44"/>
    <x v="0"/>
    <x v="11"/>
    <x v="7"/>
    <x v="0"/>
    <x v="0"/>
    <x v="0"/>
    <x v="43"/>
  </r>
  <r>
    <x v="0"/>
    <x v="45"/>
    <x v="45"/>
    <x v="0"/>
    <x v="14"/>
    <x v="10"/>
    <x v="0"/>
    <x v="0"/>
    <x v="0"/>
    <x v="31"/>
  </r>
  <r>
    <x v="0"/>
    <x v="46"/>
    <x v="46"/>
    <x v="9"/>
    <x v="15"/>
    <x v="11"/>
    <x v="0"/>
    <x v="0"/>
    <x v="8"/>
    <x v="44"/>
  </r>
  <r>
    <x v="0"/>
    <x v="47"/>
    <x v="47"/>
    <x v="10"/>
    <x v="16"/>
    <x v="11"/>
    <x v="0"/>
    <x v="0"/>
    <x v="8"/>
    <x v="45"/>
  </r>
  <r>
    <x v="0"/>
    <x v="48"/>
    <x v="48"/>
    <x v="2"/>
    <x v="2"/>
    <x v="0"/>
    <x v="0"/>
    <x v="0"/>
    <x v="7"/>
    <x v="46"/>
  </r>
  <r>
    <x v="0"/>
    <x v="49"/>
    <x v="49"/>
    <x v="2"/>
    <x v="2"/>
    <x v="0"/>
    <x v="0"/>
    <x v="0"/>
    <x v="1"/>
    <x v="47"/>
  </r>
  <r>
    <x v="0"/>
    <x v="50"/>
    <x v="50"/>
    <x v="2"/>
    <x v="2"/>
    <x v="0"/>
    <x v="0"/>
    <x v="0"/>
    <x v="1"/>
    <x v="48"/>
  </r>
  <r>
    <x v="0"/>
    <x v="51"/>
    <x v="51"/>
    <x v="2"/>
    <x v="2"/>
    <x v="0"/>
    <x v="0"/>
    <x v="0"/>
    <x v="7"/>
    <x v="49"/>
  </r>
  <r>
    <x v="0"/>
    <x v="52"/>
    <x v="52"/>
    <x v="2"/>
    <x v="2"/>
    <x v="0"/>
    <x v="0"/>
    <x v="0"/>
    <x v="1"/>
    <x v="50"/>
  </r>
  <r>
    <x v="0"/>
    <x v="53"/>
    <x v="53"/>
    <x v="11"/>
    <x v="17"/>
    <x v="12"/>
    <x v="0"/>
    <x v="0"/>
    <x v="0"/>
    <x v="51"/>
  </r>
  <r>
    <x v="0"/>
    <x v="54"/>
    <x v="54"/>
    <x v="11"/>
    <x v="17"/>
    <x v="12"/>
    <x v="0"/>
    <x v="0"/>
    <x v="0"/>
    <x v="52"/>
  </r>
  <r>
    <x v="0"/>
    <x v="55"/>
    <x v="55"/>
    <x v="11"/>
    <x v="17"/>
    <x v="12"/>
    <x v="0"/>
    <x v="0"/>
    <x v="0"/>
    <x v="53"/>
  </r>
  <r>
    <x v="0"/>
    <x v="56"/>
    <x v="56"/>
    <x v="12"/>
    <x v="18"/>
    <x v="13"/>
    <x v="0"/>
    <x v="0"/>
    <x v="0"/>
    <x v="54"/>
  </r>
  <r>
    <x v="0"/>
    <x v="57"/>
    <x v="57"/>
    <x v="12"/>
    <x v="18"/>
    <x v="13"/>
    <x v="0"/>
    <x v="0"/>
    <x v="0"/>
    <x v="55"/>
  </r>
  <r>
    <x v="0"/>
    <x v="58"/>
    <x v="58"/>
    <x v="12"/>
    <x v="18"/>
    <x v="13"/>
    <x v="0"/>
    <x v="0"/>
    <x v="0"/>
    <x v="56"/>
  </r>
  <r>
    <x v="0"/>
    <x v="59"/>
    <x v="59"/>
    <x v="11"/>
    <x v="19"/>
    <x v="13"/>
    <x v="0"/>
    <x v="0"/>
    <x v="0"/>
    <x v="57"/>
  </r>
  <r>
    <x v="0"/>
    <x v="60"/>
    <x v="60"/>
    <x v="13"/>
    <x v="20"/>
    <x v="13"/>
    <x v="0"/>
    <x v="0"/>
    <x v="0"/>
    <x v="58"/>
  </r>
  <r>
    <x v="0"/>
    <x v="61"/>
    <x v="61"/>
    <x v="14"/>
    <x v="21"/>
    <x v="13"/>
    <x v="0"/>
    <x v="0"/>
    <x v="0"/>
    <x v="59"/>
  </r>
  <r>
    <x v="0"/>
    <x v="62"/>
    <x v="62"/>
    <x v="11"/>
    <x v="22"/>
    <x v="14"/>
    <x v="0"/>
    <x v="0"/>
    <x v="9"/>
    <x v="60"/>
  </r>
  <r>
    <x v="0"/>
    <x v="63"/>
    <x v="63"/>
    <x v="14"/>
    <x v="21"/>
    <x v="13"/>
    <x v="0"/>
    <x v="0"/>
    <x v="0"/>
    <x v="61"/>
  </r>
  <r>
    <x v="0"/>
    <x v="64"/>
    <x v="64"/>
    <x v="15"/>
    <x v="23"/>
    <x v="13"/>
    <x v="0"/>
    <x v="0"/>
    <x v="9"/>
    <x v="62"/>
  </r>
  <r>
    <x v="0"/>
    <x v="65"/>
    <x v="65"/>
    <x v="14"/>
    <x v="21"/>
    <x v="13"/>
    <x v="0"/>
    <x v="0"/>
    <x v="0"/>
    <x v="63"/>
  </r>
  <r>
    <x v="0"/>
    <x v="66"/>
    <x v="66"/>
    <x v="12"/>
    <x v="18"/>
    <x v="13"/>
    <x v="0"/>
    <x v="0"/>
    <x v="0"/>
    <x v="64"/>
  </r>
  <r>
    <x v="0"/>
    <x v="67"/>
    <x v="67"/>
    <x v="12"/>
    <x v="24"/>
    <x v="12"/>
    <x v="0"/>
    <x v="0"/>
    <x v="4"/>
    <x v="65"/>
  </r>
  <r>
    <x v="0"/>
    <x v="68"/>
    <x v="68"/>
    <x v="12"/>
    <x v="24"/>
    <x v="12"/>
    <x v="0"/>
    <x v="0"/>
    <x v="4"/>
    <x v="66"/>
  </r>
  <r>
    <x v="0"/>
    <x v="69"/>
    <x v="69"/>
    <x v="16"/>
    <x v="25"/>
    <x v="15"/>
    <x v="0"/>
    <x v="0"/>
    <x v="4"/>
    <x v="67"/>
  </r>
  <r>
    <x v="0"/>
    <x v="70"/>
    <x v="70"/>
    <x v="17"/>
    <x v="26"/>
    <x v="15"/>
    <x v="0"/>
    <x v="0"/>
    <x v="7"/>
    <x v="68"/>
  </r>
  <r>
    <x v="0"/>
    <x v="71"/>
    <x v="70"/>
    <x v="17"/>
    <x v="26"/>
    <x v="15"/>
    <x v="0"/>
    <x v="0"/>
    <x v="7"/>
    <x v="69"/>
  </r>
  <r>
    <x v="0"/>
    <x v="72"/>
    <x v="71"/>
    <x v="17"/>
    <x v="26"/>
    <x v="15"/>
    <x v="0"/>
    <x v="0"/>
    <x v="7"/>
    <x v="70"/>
  </r>
  <r>
    <x v="0"/>
    <x v="73"/>
    <x v="72"/>
    <x v="12"/>
    <x v="2"/>
    <x v="16"/>
    <x v="0"/>
    <x v="0"/>
    <x v="7"/>
    <x v="55"/>
  </r>
  <r>
    <x v="0"/>
    <x v="74"/>
    <x v="73"/>
    <x v="14"/>
    <x v="27"/>
    <x v="16"/>
    <x v="0"/>
    <x v="0"/>
    <x v="7"/>
    <x v="71"/>
  </r>
  <r>
    <x v="0"/>
    <x v="75"/>
    <x v="74"/>
    <x v="14"/>
    <x v="21"/>
    <x v="13"/>
    <x v="0"/>
    <x v="0"/>
    <x v="0"/>
    <x v="72"/>
  </r>
  <r>
    <x v="0"/>
    <x v="76"/>
    <x v="75"/>
    <x v="18"/>
    <x v="28"/>
    <x v="0"/>
    <x v="0"/>
    <x v="0"/>
    <x v="1"/>
    <x v="73"/>
  </r>
  <r>
    <x v="1"/>
    <x v="41"/>
    <x v="41"/>
    <x v="2"/>
    <x v="2"/>
    <x v="0"/>
    <x v="0"/>
    <x v="0"/>
    <x v="1"/>
    <x v="74"/>
  </r>
  <r>
    <x v="1"/>
    <x v="77"/>
    <x v="76"/>
    <x v="19"/>
    <x v="29"/>
    <x v="0"/>
    <x v="0"/>
    <x v="0"/>
    <x v="1"/>
    <x v="75"/>
  </r>
  <r>
    <x v="1"/>
    <x v="58"/>
    <x v="58"/>
    <x v="12"/>
    <x v="18"/>
    <x v="13"/>
    <x v="0"/>
    <x v="0"/>
    <x v="0"/>
    <x v="76"/>
  </r>
  <r>
    <x v="1"/>
    <x v="78"/>
    <x v="77"/>
    <x v="18"/>
    <x v="28"/>
    <x v="0"/>
    <x v="0"/>
    <x v="0"/>
    <x v="1"/>
    <x v="77"/>
  </r>
  <r>
    <x v="1"/>
    <x v="79"/>
    <x v="78"/>
    <x v="18"/>
    <x v="28"/>
    <x v="0"/>
    <x v="0"/>
    <x v="0"/>
    <x v="1"/>
    <x v="76"/>
  </r>
  <r>
    <x v="1"/>
    <x v="80"/>
    <x v="79"/>
    <x v="18"/>
    <x v="28"/>
    <x v="0"/>
    <x v="0"/>
    <x v="0"/>
    <x v="1"/>
    <x v="76"/>
  </r>
  <r>
    <x v="1"/>
    <x v="74"/>
    <x v="73"/>
    <x v="14"/>
    <x v="27"/>
    <x v="16"/>
    <x v="0"/>
    <x v="0"/>
    <x v="7"/>
    <x v="78"/>
  </r>
  <r>
    <x v="1"/>
    <x v="81"/>
    <x v="80"/>
    <x v="18"/>
    <x v="28"/>
    <x v="0"/>
    <x v="2"/>
    <x v="0"/>
    <x v="1"/>
    <x v="79"/>
  </r>
  <r>
    <x v="2"/>
    <x v="82"/>
    <x v="81"/>
    <x v="20"/>
    <x v="30"/>
    <x v="0"/>
    <x v="3"/>
    <x v="1"/>
    <x v="1"/>
    <x v="80"/>
  </r>
  <r>
    <x v="2"/>
    <x v="82"/>
    <x v="81"/>
    <x v="20"/>
    <x v="30"/>
    <x v="0"/>
    <x v="3"/>
    <x v="1"/>
    <x v="1"/>
    <x v="81"/>
  </r>
  <r>
    <x v="2"/>
    <x v="83"/>
    <x v="82"/>
    <x v="20"/>
    <x v="30"/>
    <x v="0"/>
    <x v="3"/>
    <x v="1"/>
    <x v="7"/>
    <x v="82"/>
  </r>
  <r>
    <x v="2"/>
    <x v="83"/>
    <x v="82"/>
    <x v="20"/>
    <x v="30"/>
    <x v="0"/>
    <x v="3"/>
    <x v="1"/>
    <x v="7"/>
    <x v="83"/>
  </r>
  <r>
    <x v="2"/>
    <x v="84"/>
    <x v="83"/>
    <x v="20"/>
    <x v="30"/>
    <x v="16"/>
    <x v="3"/>
    <x v="1"/>
    <x v="7"/>
    <x v="84"/>
  </r>
  <r>
    <x v="2"/>
    <x v="84"/>
    <x v="83"/>
    <x v="20"/>
    <x v="30"/>
    <x v="16"/>
    <x v="3"/>
    <x v="1"/>
    <x v="7"/>
    <x v="85"/>
  </r>
  <r>
    <x v="2"/>
    <x v="85"/>
    <x v="84"/>
    <x v="20"/>
    <x v="30"/>
    <x v="0"/>
    <x v="3"/>
    <x v="1"/>
    <x v="7"/>
    <x v="86"/>
  </r>
  <r>
    <x v="2"/>
    <x v="85"/>
    <x v="84"/>
    <x v="20"/>
    <x v="30"/>
    <x v="0"/>
    <x v="3"/>
    <x v="1"/>
    <x v="7"/>
    <x v="87"/>
  </r>
  <r>
    <x v="2"/>
    <x v="86"/>
    <x v="85"/>
    <x v="20"/>
    <x v="30"/>
    <x v="11"/>
    <x v="3"/>
    <x v="1"/>
    <x v="8"/>
    <x v="88"/>
  </r>
  <r>
    <x v="2"/>
    <x v="86"/>
    <x v="85"/>
    <x v="20"/>
    <x v="30"/>
    <x v="11"/>
    <x v="3"/>
    <x v="1"/>
    <x v="8"/>
    <x v="89"/>
  </r>
  <r>
    <x v="2"/>
    <x v="87"/>
    <x v="85"/>
    <x v="20"/>
    <x v="30"/>
    <x v="0"/>
    <x v="3"/>
    <x v="1"/>
    <x v="7"/>
    <x v="90"/>
  </r>
  <r>
    <x v="2"/>
    <x v="87"/>
    <x v="85"/>
    <x v="20"/>
    <x v="30"/>
    <x v="0"/>
    <x v="3"/>
    <x v="1"/>
    <x v="7"/>
    <x v="91"/>
  </r>
  <r>
    <x v="2"/>
    <x v="88"/>
    <x v="86"/>
    <x v="20"/>
    <x v="30"/>
    <x v="16"/>
    <x v="3"/>
    <x v="1"/>
    <x v="9"/>
    <x v="92"/>
  </r>
  <r>
    <x v="2"/>
    <x v="88"/>
    <x v="86"/>
    <x v="20"/>
    <x v="30"/>
    <x v="16"/>
    <x v="3"/>
    <x v="1"/>
    <x v="9"/>
    <x v="93"/>
  </r>
  <r>
    <x v="2"/>
    <x v="89"/>
    <x v="87"/>
    <x v="20"/>
    <x v="30"/>
    <x v="11"/>
    <x v="3"/>
    <x v="1"/>
    <x v="8"/>
    <x v="88"/>
  </r>
  <r>
    <x v="2"/>
    <x v="89"/>
    <x v="87"/>
    <x v="20"/>
    <x v="30"/>
    <x v="11"/>
    <x v="3"/>
    <x v="1"/>
    <x v="8"/>
    <x v="89"/>
  </r>
  <r>
    <x v="2"/>
    <x v="90"/>
    <x v="88"/>
    <x v="20"/>
    <x v="30"/>
    <x v="16"/>
    <x v="3"/>
    <x v="1"/>
    <x v="1"/>
    <x v="94"/>
  </r>
  <r>
    <x v="2"/>
    <x v="90"/>
    <x v="88"/>
    <x v="20"/>
    <x v="30"/>
    <x v="16"/>
    <x v="3"/>
    <x v="1"/>
    <x v="1"/>
    <x v="95"/>
  </r>
  <r>
    <x v="2"/>
    <x v="91"/>
    <x v="89"/>
    <x v="20"/>
    <x v="30"/>
    <x v="17"/>
    <x v="3"/>
    <x v="1"/>
    <x v="3"/>
    <x v="96"/>
  </r>
  <r>
    <x v="2"/>
    <x v="91"/>
    <x v="89"/>
    <x v="20"/>
    <x v="30"/>
    <x v="17"/>
    <x v="3"/>
    <x v="1"/>
    <x v="3"/>
    <x v="97"/>
  </r>
  <r>
    <x v="2"/>
    <x v="92"/>
    <x v="90"/>
    <x v="20"/>
    <x v="30"/>
    <x v="0"/>
    <x v="3"/>
    <x v="1"/>
    <x v="1"/>
    <x v="98"/>
  </r>
  <r>
    <x v="2"/>
    <x v="92"/>
    <x v="90"/>
    <x v="20"/>
    <x v="30"/>
    <x v="0"/>
    <x v="3"/>
    <x v="1"/>
    <x v="1"/>
    <x v="99"/>
  </r>
  <r>
    <x v="2"/>
    <x v="93"/>
    <x v="91"/>
    <x v="20"/>
    <x v="30"/>
    <x v="0"/>
    <x v="3"/>
    <x v="1"/>
    <x v="1"/>
    <x v="90"/>
  </r>
  <r>
    <x v="2"/>
    <x v="93"/>
    <x v="91"/>
    <x v="20"/>
    <x v="30"/>
    <x v="0"/>
    <x v="3"/>
    <x v="1"/>
    <x v="1"/>
    <x v="91"/>
  </r>
  <r>
    <x v="3"/>
    <x v="94"/>
    <x v="92"/>
    <x v="21"/>
    <x v="31"/>
    <x v="18"/>
    <x v="0"/>
    <x v="0"/>
    <x v="10"/>
    <x v="100"/>
  </r>
  <r>
    <x v="3"/>
    <x v="95"/>
    <x v="93"/>
    <x v="21"/>
    <x v="32"/>
    <x v="19"/>
    <x v="0"/>
    <x v="0"/>
    <x v="10"/>
    <x v="101"/>
  </r>
  <r>
    <x v="3"/>
    <x v="96"/>
    <x v="94"/>
    <x v="21"/>
    <x v="33"/>
    <x v="20"/>
    <x v="0"/>
    <x v="0"/>
    <x v="10"/>
    <x v="102"/>
  </r>
  <r>
    <x v="3"/>
    <x v="97"/>
    <x v="95"/>
    <x v="21"/>
    <x v="32"/>
    <x v="19"/>
    <x v="0"/>
    <x v="0"/>
    <x v="10"/>
    <x v="101"/>
  </r>
  <r>
    <x v="3"/>
    <x v="98"/>
    <x v="96"/>
    <x v="22"/>
    <x v="34"/>
    <x v="21"/>
    <x v="0"/>
    <x v="0"/>
    <x v="10"/>
    <x v="100"/>
  </r>
  <r>
    <x v="3"/>
    <x v="99"/>
    <x v="97"/>
    <x v="21"/>
    <x v="35"/>
    <x v="22"/>
    <x v="0"/>
    <x v="0"/>
    <x v="10"/>
    <x v="103"/>
  </r>
  <r>
    <x v="4"/>
    <x v="100"/>
    <x v="98"/>
    <x v="20"/>
    <x v="30"/>
    <x v="23"/>
    <x v="0"/>
    <x v="1"/>
    <x v="4"/>
    <x v="104"/>
  </r>
  <r>
    <x v="4"/>
    <x v="101"/>
    <x v="99"/>
    <x v="20"/>
    <x v="30"/>
    <x v="23"/>
    <x v="0"/>
    <x v="1"/>
    <x v="4"/>
    <x v="105"/>
  </r>
  <r>
    <x v="5"/>
    <x v="102"/>
    <x v="100"/>
    <x v="20"/>
    <x v="30"/>
    <x v="24"/>
    <x v="0"/>
    <x v="1"/>
    <x v="0"/>
    <x v="106"/>
  </r>
  <r>
    <x v="6"/>
    <x v="103"/>
    <x v="101"/>
    <x v="23"/>
    <x v="36"/>
    <x v="25"/>
    <x v="0"/>
    <x v="2"/>
    <x v="8"/>
    <x v="107"/>
  </r>
  <r>
    <x v="6"/>
    <x v="104"/>
    <x v="102"/>
    <x v="23"/>
    <x v="36"/>
    <x v="25"/>
    <x v="0"/>
    <x v="3"/>
    <x v="8"/>
    <x v="108"/>
  </r>
  <r>
    <x v="6"/>
    <x v="105"/>
    <x v="103"/>
    <x v="23"/>
    <x v="36"/>
    <x v="25"/>
    <x v="0"/>
    <x v="3"/>
    <x v="8"/>
    <x v="109"/>
  </r>
  <r>
    <x v="7"/>
    <x v="106"/>
    <x v="104"/>
    <x v="20"/>
    <x v="30"/>
    <x v="0"/>
    <x v="2"/>
    <x v="3"/>
    <x v="1"/>
    <x v="110"/>
  </r>
  <r>
    <x v="8"/>
    <x v="3"/>
    <x v="3"/>
    <x v="1"/>
    <x v="1"/>
    <x v="0"/>
    <x v="0"/>
    <x v="0"/>
    <x v="1"/>
    <x v="111"/>
  </r>
  <r>
    <x v="8"/>
    <x v="5"/>
    <x v="5"/>
    <x v="0"/>
    <x v="0"/>
    <x v="0"/>
    <x v="0"/>
    <x v="0"/>
    <x v="1"/>
    <x v="112"/>
  </r>
  <r>
    <x v="8"/>
    <x v="6"/>
    <x v="6"/>
    <x v="0"/>
    <x v="0"/>
    <x v="0"/>
    <x v="0"/>
    <x v="0"/>
    <x v="1"/>
    <x v="72"/>
  </r>
  <r>
    <x v="8"/>
    <x v="107"/>
    <x v="105"/>
    <x v="24"/>
    <x v="37"/>
    <x v="1"/>
    <x v="0"/>
    <x v="0"/>
    <x v="2"/>
    <x v="113"/>
  </r>
  <r>
    <x v="8"/>
    <x v="108"/>
    <x v="106"/>
    <x v="25"/>
    <x v="38"/>
    <x v="26"/>
    <x v="0"/>
    <x v="0"/>
    <x v="11"/>
    <x v="114"/>
  </r>
  <r>
    <x v="8"/>
    <x v="109"/>
    <x v="107"/>
    <x v="25"/>
    <x v="38"/>
    <x v="26"/>
    <x v="0"/>
    <x v="0"/>
    <x v="11"/>
    <x v="115"/>
  </r>
  <r>
    <x v="8"/>
    <x v="110"/>
    <x v="108"/>
    <x v="25"/>
    <x v="38"/>
    <x v="26"/>
    <x v="0"/>
    <x v="0"/>
    <x v="11"/>
    <x v="115"/>
  </r>
  <r>
    <x v="8"/>
    <x v="111"/>
    <x v="109"/>
    <x v="24"/>
    <x v="37"/>
    <x v="1"/>
    <x v="0"/>
    <x v="0"/>
    <x v="2"/>
    <x v="113"/>
  </r>
  <r>
    <x v="8"/>
    <x v="112"/>
    <x v="110"/>
    <x v="24"/>
    <x v="37"/>
    <x v="1"/>
    <x v="0"/>
    <x v="0"/>
    <x v="2"/>
    <x v="113"/>
  </r>
  <r>
    <x v="8"/>
    <x v="113"/>
    <x v="111"/>
    <x v="24"/>
    <x v="37"/>
    <x v="1"/>
    <x v="0"/>
    <x v="0"/>
    <x v="2"/>
    <x v="113"/>
  </r>
  <r>
    <x v="8"/>
    <x v="114"/>
    <x v="112"/>
    <x v="6"/>
    <x v="8"/>
    <x v="1"/>
    <x v="0"/>
    <x v="0"/>
    <x v="5"/>
    <x v="78"/>
  </r>
  <r>
    <x v="8"/>
    <x v="115"/>
    <x v="113"/>
    <x v="6"/>
    <x v="8"/>
    <x v="1"/>
    <x v="0"/>
    <x v="0"/>
    <x v="5"/>
    <x v="76"/>
  </r>
  <r>
    <x v="8"/>
    <x v="116"/>
    <x v="114"/>
    <x v="26"/>
    <x v="39"/>
    <x v="23"/>
    <x v="0"/>
    <x v="0"/>
    <x v="10"/>
    <x v="116"/>
  </r>
  <r>
    <x v="8"/>
    <x v="117"/>
    <x v="115"/>
    <x v="7"/>
    <x v="9"/>
    <x v="6"/>
    <x v="0"/>
    <x v="0"/>
    <x v="3"/>
    <x v="117"/>
  </r>
  <r>
    <x v="8"/>
    <x v="118"/>
    <x v="116"/>
    <x v="7"/>
    <x v="9"/>
    <x v="6"/>
    <x v="0"/>
    <x v="0"/>
    <x v="3"/>
    <x v="117"/>
  </r>
  <r>
    <x v="8"/>
    <x v="119"/>
    <x v="117"/>
    <x v="25"/>
    <x v="38"/>
    <x v="26"/>
    <x v="0"/>
    <x v="0"/>
    <x v="11"/>
    <x v="118"/>
  </r>
  <r>
    <x v="8"/>
    <x v="120"/>
    <x v="118"/>
    <x v="25"/>
    <x v="38"/>
    <x v="26"/>
    <x v="0"/>
    <x v="0"/>
    <x v="11"/>
    <x v="119"/>
  </r>
  <r>
    <x v="8"/>
    <x v="121"/>
    <x v="119"/>
    <x v="25"/>
    <x v="38"/>
    <x v="26"/>
    <x v="0"/>
    <x v="0"/>
    <x v="11"/>
    <x v="119"/>
  </r>
  <r>
    <x v="8"/>
    <x v="122"/>
    <x v="120"/>
    <x v="25"/>
    <x v="38"/>
    <x v="26"/>
    <x v="0"/>
    <x v="0"/>
    <x v="11"/>
    <x v="120"/>
  </r>
  <r>
    <x v="8"/>
    <x v="123"/>
    <x v="121"/>
    <x v="27"/>
    <x v="40"/>
    <x v="1"/>
    <x v="0"/>
    <x v="0"/>
    <x v="2"/>
    <x v="121"/>
  </r>
  <r>
    <x v="8"/>
    <x v="124"/>
    <x v="122"/>
    <x v="7"/>
    <x v="9"/>
    <x v="6"/>
    <x v="0"/>
    <x v="0"/>
    <x v="3"/>
    <x v="117"/>
  </r>
  <r>
    <x v="8"/>
    <x v="125"/>
    <x v="123"/>
    <x v="28"/>
    <x v="41"/>
    <x v="3"/>
    <x v="0"/>
    <x v="0"/>
    <x v="3"/>
    <x v="117"/>
  </r>
  <r>
    <x v="8"/>
    <x v="126"/>
    <x v="124"/>
    <x v="29"/>
    <x v="42"/>
    <x v="27"/>
    <x v="0"/>
    <x v="0"/>
    <x v="12"/>
    <x v="116"/>
  </r>
  <r>
    <x v="8"/>
    <x v="127"/>
    <x v="125"/>
    <x v="20"/>
    <x v="30"/>
    <x v="27"/>
    <x v="0"/>
    <x v="3"/>
    <x v="12"/>
    <x v="65"/>
  </r>
  <r>
    <x v="8"/>
    <x v="128"/>
    <x v="126"/>
    <x v="29"/>
    <x v="42"/>
    <x v="27"/>
    <x v="0"/>
    <x v="3"/>
    <x v="12"/>
    <x v="116"/>
  </r>
  <r>
    <x v="8"/>
    <x v="37"/>
    <x v="37"/>
    <x v="0"/>
    <x v="0"/>
    <x v="0"/>
    <x v="0"/>
    <x v="0"/>
    <x v="7"/>
    <x v="74"/>
  </r>
  <r>
    <x v="8"/>
    <x v="129"/>
    <x v="127"/>
    <x v="30"/>
    <x v="43"/>
    <x v="7"/>
    <x v="0"/>
    <x v="0"/>
    <x v="0"/>
    <x v="110"/>
  </r>
  <r>
    <x v="8"/>
    <x v="130"/>
    <x v="128"/>
    <x v="31"/>
    <x v="44"/>
    <x v="22"/>
    <x v="0"/>
    <x v="0"/>
    <x v="8"/>
    <x v="122"/>
  </r>
  <r>
    <x v="8"/>
    <x v="131"/>
    <x v="129"/>
    <x v="31"/>
    <x v="44"/>
    <x v="22"/>
    <x v="0"/>
    <x v="0"/>
    <x v="8"/>
    <x v="123"/>
  </r>
  <r>
    <x v="8"/>
    <x v="132"/>
    <x v="36"/>
    <x v="32"/>
    <x v="45"/>
    <x v="0"/>
    <x v="0"/>
    <x v="0"/>
    <x v="7"/>
    <x v="74"/>
  </r>
  <r>
    <x v="8"/>
    <x v="106"/>
    <x v="104"/>
    <x v="20"/>
    <x v="30"/>
    <x v="0"/>
    <x v="2"/>
    <x v="3"/>
    <x v="1"/>
    <x v="110"/>
  </r>
  <r>
    <x v="8"/>
    <x v="133"/>
    <x v="130"/>
    <x v="33"/>
    <x v="46"/>
    <x v="7"/>
    <x v="0"/>
    <x v="0"/>
    <x v="0"/>
    <x v="64"/>
  </r>
  <r>
    <x v="8"/>
    <x v="134"/>
    <x v="131"/>
    <x v="34"/>
    <x v="47"/>
    <x v="1"/>
    <x v="0"/>
    <x v="0"/>
    <x v="7"/>
    <x v="113"/>
  </r>
  <r>
    <x v="8"/>
    <x v="135"/>
    <x v="132"/>
    <x v="35"/>
    <x v="48"/>
    <x v="7"/>
    <x v="0"/>
    <x v="0"/>
    <x v="0"/>
    <x v="75"/>
  </r>
  <r>
    <x v="8"/>
    <x v="44"/>
    <x v="44"/>
    <x v="0"/>
    <x v="11"/>
    <x v="7"/>
    <x v="0"/>
    <x v="0"/>
    <x v="0"/>
    <x v="124"/>
  </r>
  <r>
    <x v="8"/>
    <x v="46"/>
    <x v="46"/>
    <x v="9"/>
    <x v="15"/>
    <x v="11"/>
    <x v="0"/>
    <x v="0"/>
    <x v="8"/>
    <x v="125"/>
  </r>
  <r>
    <x v="8"/>
    <x v="136"/>
    <x v="133"/>
    <x v="2"/>
    <x v="2"/>
    <x v="0"/>
    <x v="0"/>
    <x v="0"/>
    <x v="1"/>
    <x v="110"/>
  </r>
  <r>
    <x v="8"/>
    <x v="77"/>
    <x v="76"/>
    <x v="19"/>
    <x v="29"/>
    <x v="0"/>
    <x v="0"/>
    <x v="0"/>
    <x v="1"/>
    <x v="75"/>
  </r>
  <r>
    <x v="8"/>
    <x v="137"/>
    <x v="134"/>
    <x v="36"/>
    <x v="49"/>
    <x v="0"/>
    <x v="4"/>
    <x v="0"/>
    <x v="7"/>
    <x v="126"/>
  </r>
  <r>
    <x v="8"/>
    <x v="138"/>
    <x v="135"/>
    <x v="26"/>
    <x v="50"/>
    <x v="1"/>
    <x v="0"/>
    <x v="0"/>
    <x v="2"/>
    <x v="127"/>
  </r>
  <r>
    <x v="8"/>
    <x v="57"/>
    <x v="57"/>
    <x v="12"/>
    <x v="18"/>
    <x v="13"/>
    <x v="0"/>
    <x v="0"/>
    <x v="0"/>
    <x v="77"/>
  </r>
  <r>
    <x v="8"/>
    <x v="58"/>
    <x v="58"/>
    <x v="12"/>
    <x v="18"/>
    <x v="13"/>
    <x v="0"/>
    <x v="0"/>
    <x v="0"/>
    <x v="128"/>
  </r>
  <r>
    <x v="8"/>
    <x v="62"/>
    <x v="62"/>
    <x v="11"/>
    <x v="22"/>
    <x v="14"/>
    <x v="0"/>
    <x v="0"/>
    <x v="9"/>
    <x v="76"/>
  </r>
  <r>
    <x v="8"/>
    <x v="139"/>
    <x v="136"/>
    <x v="37"/>
    <x v="51"/>
    <x v="15"/>
    <x v="0"/>
    <x v="0"/>
    <x v="4"/>
    <x v="44"/>
  </r>
  <r>
    <x v="8"/>
    <x v="140"/>
    <x v="137"/>
    <x v="38"/>
    <x v="52"/>
    <x v="28"/>
    <x v="0"/>
    <x v="0"/>
    <x v="1"/>
    <x v="75"/>
  </r>
  <r>
    <x v="8"/>
    <x v="141"/>
    <x v="138"/>
    <x v="38"/>
    <x v="52"/>
    <x v="28"/>
    <x v="0"/>
    <x v="0"/>
    <x v="1"/>
    <x v="76"/>
  </r>
  <r>
    <x v="8"/>
    <x v="142"/>
    <x v="139"/>
    <x v="18"/>
    <x v="28"/>
    <x v="0"/>
    <x v="0"/>
    <x v="0"/>
    <x v="1"/>
    <x v="116"/>
  </r>
  <r>
    <x v="8"/>
    <x v="143"/>
    <x v="140"/>
    <x v="39"/>
    <x v="53"/>
    <x v="0"/>
    <x v="0"/>
    <x v="0"/>
    <x v="1"/>
    <x v="75"/>
  </r>
  <r>
    <x v="8"/>
    <x v="144"/>
    <x v="71"/>
    <x v="17"/>
    <x v="26"/>
    <x v="15"/>
    <x v="0"/>
    <x v="0"/>
    <x v="7"/>
    <x v="64"/>
  </r>
  <r>
    <x v="8"/>
    <x v="73"/>
    <x v="72"/>
    <x v="12"/>
    <x v="2"/>
    <x v="16"/>
    <x v="0"/>
    <x v="0"/>
    <x v="7"/>
    <x v="117"/>
  </r>
  <r>
    <x v="9"/>
    <x v="145"/>
    <x v="141"/>
    <x v="40"/>
    <x v="54"/>
    <x v="0"/>
    <x v="0"/>
    <x v="0"/>
    <x v="0"/>
    <x v="77"/>
  </r>
  <r>
    <x v="9"/>
    <x v="33"/>
    <x v="33"/>
    <x v="0"/>
    <x v="11"/>
    <x v="7"/>
    <x v="0"/>
    <x v="0"/>
    <x v="1"/>
    <x v="75"/>
  </r>
  <r>
    <x v="9"/>
    <x v="34"/>
    <x v="34"/>
    <x v="2"/>
    <x v="2"/>
    <x v="0"/>
    <x v="0"/>
    <x v="0"/>
    <x v="1"/>
    <x v="78"/>
  </r>
  <r>
    <x v="9"/>
    <x v="35"/>
    <x v="35"/>
    <x v="2"/>
    <x v="2"/>
    <x v="0"/>
    <x v="0"/>
    <x v="0"/>
    <x v="1"/>
    <x v="75"/>
  </r>
  <r>
    <x v="9"/>
    <x v="146"/>
    <x v="142"/>
    <x v="41"/>
    <x v="55"/>
    <x v="18"/>
    <x v="0"/>
    <x v="0"/>
    <x v="10"/>
    <x v="129"/>
  </r>
  <r>
    <x v="9"/>
    <x v="147"/>
    <x v="143"/>
    <x v="41"/>
    <x v="55"/>
    <x v="18"/>
    <x v="5"/>
    <x v="4"/>
    <x v="10"/>
    <x v="130"/>
  </r>
  <r>
    <x v="9"/>
    <x v="148"/>
    <x v="142"/>
    <x v="42"/>
    <x v="56"/>
    <x v="29"/>
    <x v="0"/>
    <x v="0"/>
    <x v="13"/>
    <x v="129"/>
  </r>
  <r>
    <x v="9"/>
    <x v="50"/>
    <x v="50"/>
    <x v="2"/>
    <x v="2"/>
    <x v="0"/>
    <x v="0"/>
    <x v="0"/>
    <x v="1"/>
    <x v="117"/>
  </r>
  <r>
    <x v="9"/>
    <x v="77"/>
    <x v="76"/>
    <x v="19"/>
    <x v="29"/>
    <x v="0"/>
    <x v="0"/>
    <x v="0"/>
    <x v="1"/>
    <x v="76"/>
  </r>
  <r>
    <x v="9"/>
    <x v="149"/>
    <x v="144"/>
    <x v="43"/>
    <x v="57"/>
    <x v="12"/>
    <x v="0"/>
    <x v="0"/>
    <x v="4"/>
    <x v="64"/>
  </r>
  <r>
    <x v="9"/>
    <x v="150"/>
    <x v="145"/>
    <x v="43"/>
    <x v="57"/>
    <x v="12"/>
    <x v="0"/>
    <x v="0"/>
    <x v="4"/>
    <x v="64"/>
  </r>
  <r>
    <x v="9"/>
    <x v="151"/>
    <x v="146"/>
    <x v="44"/>
    <x v="58"/>
    <x v="12"/>
    <x v="0"/>
    <x v="0"/>
    <x v="4"/>
    <x v="125"/>
  </r>
  <r>
    <x v="9"/>
    <x v="152"/>
    <x v="147"/>
    <x v="17"/>
    <x v="59"/>
    <x v="13"/>
    <x v="0"/>
    <x v="0"/>
    <x v="0"/>
    <x v="131"/>
  </r>
  <r>
    <x v="9"/>
    <x v="153"/>
    <x v="148"/>
    <x v="17"/>
    <x v="60"/>
    <x v="12"/>
    <x v="0"/>
    <x v="0"/>
    <x v="0"/>
    <x v="132"/>
  </r>
  <r>
    <x v="9"/>
    <x v="154"/>
    <x v="149"/>
    <x v="17"/>
    <x v="60"/>
    <x v="12"/>
    <x v="0"/>
    <x v="0"/>
    <x v="0"/>
    <x v="133"/>
  </r>
  <r>
    <x v="9"/>
    <x v="155"/>
    <x v="150"/>
    <x v="17"/>
    <x v="60"/>
    <x v="12"/>
    <x v="0"/>
    <x v="0"/>
    <x v="0"/>
    <x v="134"/>
  </r>
  <r>
    <x v="9"/>
    <x v="156"/>
    <x v="151"/>
    <x v="45"/>
    <x v="61"/>
    <x v="14"/>
    <x v="0"/>
    <x v="0"/>
    <x v="9"/>
    <x v="133"/>
  </r>
  <r>
    <x v="9"/>
    <x v="157"/>
    <x v="152"/>
    <x v="45"/>
    <x v="61"/>
    <x v="14"/>
    <x v="0"/>
    <x v="0"/>
    <x v="9"/>
    <x v="134"/>
  </r>
  <r>
    <x v="10"/>
    <x v="94"/>
    <x v="92"/>
    <x v="21"/>
    <x v="31"/>
    <x v="18"/>
    <x v="0"/>
    <x v="0"/>
    <x v="10"/>
    <x v="135"/>
  </r>
  <r>
    <x v="10"/>
    <x v="95"/>
    <x v="93"/>
    <x v="21"/>
    <x v="32"/>
    <x v="19"/>
    <x v="0"/>
    <x v="0"/>
    <x v="10"/>
    <x v="136"/>
  </r>
  <r>
    <x v="10"/>
    <x v="96"/>
    <x v="94"/>
    <x v="21"/>
    <x v="33"/>
    <x v="20"/>
    <x v="0"/>
    <x v="0"/>
    <x v="10"/>
    <x v="137"/>
  </r>
  <r>
    <x v="10"/>
    <x v="97"/>
    <x v="95"/>
    <x v="21"/>
    <x v="32"/>
    <x v="19"/>
    <x v="0"/>
    <x v="0"/>
    <x v="10"/>
    <x v="136"/>
  </r>
  <r>
    <x v="10"/>
    <x v="158"/>
    <x v="153"/>
    <x v="46"/>
    <x v="62"/>
    <x v="0"/>
    <x v="0"/>
    <x v="0"/>
    <x v="14"/>
    <x v="138"/>
  </r>
  <r>
    <x v="10"/>
    <x v="98"/>
    <x v="96"/>
    <x v="22"/>
    <x v="34"/>
    <x v="21"/>
    <x v="0"/>
    <x v="0"/>
    <x v="10"/>
    <x v="135"/>
  </r>
  <r>
    <x v="10"/>
    <x v="99"/>
    <x v="97"/>
    <x v="21"/>
    <x v="35"/>
    <x v="22"/>
    <x v="0"/>
    <x v="0"/>
    <x v="10"/>
    <x v="1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9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rowHeaderCaption="SUPPLIER CODE" fieldListSortAscending="1">
  <location ref="A1:J199" firstHeaderRow="1" firstDataRow="1" firstDataCol="10"/>
  <pivotFields count="10">
    <pivotField axis="axisRow" outline="0" showAll="0" defaultSubtotal="0">
      <items count="17">
        <item x="1"/>
        <item x="0"/>
        <item m="1" x="13"/>
        <item x="3"/>
        <item x="8"/>
        <item m="1" x="15"/>
        <item m="1" x="14"/>
        <item x="9"/>
        <item x="10"/>
        <item m="1" x="16"/>
        <item m="1" x="11"/>
        <item m="1" x="12"/>
        <item x="2"/>
        <item x="6"/>
        <item x="7"/>
        <item x="4"/>
        <item x="5"/>
      </items>
      <extLst>
        <ext xmlns:x14="http://schemas.microsoft.com/office/spreadsheetml/2009/9/main" uri="{2946ED86-A175-432a-8AC1-64E0C546D7DE}">
          <x14:pivotField fillDownLabels="1"/>
        </ext>
      </extLst>
    </pivotField>
    <pivotField name="PRODUCT Nº" axis="axisRow" outline="0" showAll="0" defaultSubtotal="0">
      <items count="224">
        <item x="145"/>
        <item x="0"/>
        <item x="1"/>
        <item x="2"/>
        <item x="3"/>
        <item x="4"/>
        <item x="5"/>
        <item x="6"/>
        <item x="7"/>
        <item x="103"/>
        <item x="104"/>
        <item x="105"/>
        <item x="107"/>
        <item x="8"/>
        <item x="9"/>
        <item x="10"/>
        <item x="11"/>
        <item x="12"/>
        <item x="13"/>
        <item x="14"/>
        <item x="94"/>
        <item x="95"/>
        <item x="96"/>
        <item x="15"/>
        <item x="16"/>
        <item x="17"/>
        <item m="1" x="212"/>
        <item m="1" x="204"/>
        <item m="1" x="222"/>
        <item x="18"/>
        <item x="19"/>
        <item x="20"/>
        <item m="1" x="206"/>
        <item m="1" x="203"/>
        <item x="21"/>
        <item x="22"/>
        <item x="23"/>
        <item x="24"/>
        <item x="25"/>
        <item x="26"/>
        <item x="108"/>
        <item x="109"/>
        <item x="110"/>
        <item x="27"/>
        <item x="111"/>
        <item x="112"/>
        <item x="113"/>
        <item x="28"/>
        <item x="29"/>
        <item x="114"/>
        <item x="115"/>
        <item m="1" x="216"/>
        <item x="116"/>
        <item x="117"/>
        <item x="118"/>
        <item x="119"/>
        <item x="120"/>
        <item x="121"/>
        <item x="122"/>
        <item m="1" x="218"/>
        <item x="123"/>
        <item x="124"/>
        <item x="125"/>
        <item m="1" x="192"/>
        <item m="1" x="193"/>
        <item m="1" x="194"/>
        <item m="1" x="195"/>
        <item x="30"/>
        <item x="31"/>
        <item m="1" x="202"/>
        <item m="1" x="219"/>
        <item m="1" x="213"/>
        <item m="1" x="205"/>
        <item m="1" x="223"/>
        <item m="1" x="214"/>
        <item m="1" x="211"/>
        <item m="1" x="161"/>
        <item m="1" x="162"/>
        <item m="1" x="163"/>
        <item x="97"/>
        <item x="33"/>
        <item x="34"/>
        <item x="35"/>
        <item m="1" x="215"/>
        <item m="1" x="165"/>
        <item x="36"/>
        <item x="37"/>
        <item x="38"/>
        <item x="39"/>
        <item x="129"/>
        <item x="40"/>
        <item x="130"/>
        <item x="131"/>
        <item m="1" x="174"/>
        <item x="132"/>
        <item x="158"/>
        <item x="148"/>
        <item x="41"/>
        <item x="42"/>
        <item x="43"/>
        <item m="1" x="220"/>
        <item m="1" x="168"/>
        <item x="134"/>
        <item x="135"/>
        <item x="44"/>
        <item x="45"/>
        <item x="46"/>
        <item x="47"/>
        <item x="48"/>
        <item x="136"/>
        <item x="49"/>
        <item x="50"/>
        <item x="77"/>
        <item x="51"/>
        <item x="52"/>
        <item x="137"/>
        <item x="53"/>
        <item x="54"/>
        <item x="55"/>
        <item x="56"/>
        <item x="57"/>
        <item x="58"/>
        <item x="59"/>
        <item x="60"/>
        <item x="61"/>
        <item x="62"/>
        <item x="63"/>
        <item x="64"/>
        <item x="65"/>
        <item m="1" x="207"/>
        <item m="1" x="209"/>
        <item x="67"/>
        <item m="1" x="197"/>
        <item x="68"/>
        <item x="69"/>
        <item x="149"/>
        <item x="150"/>
        <item x="151"/>
        <item m="1" x="201"/>
        <item m="1" x="208"/>
        <item m="1" x="217"/>
        <item x="78"/>
        <item m="1" x="210"/>
        <item x="79"/>
        <item x="80"/>
        <item x="140"/>
        <item m="1" x="190"/>
        <item x="141"/>
        <item x="142"/>
        <item x="143"/>
        <item m="1" x="191"/>
        <item x="70"/>
        <item x="71"/>
        <item m="1" x="198"/>
        <item x="144"/>
        <item x="72"/>
        <item m="1" x="199"/>
        <item x="73"/>
        <item x="74"/>
        <item x="75"/>
        <item x="98"/>
        <item m="1" x="221"/>
        <item x="99"/>
        <item x="152"/>
        <item x="153"/>
        <item x="154"/>
        <item x="155"/>
        <item x="156"/>
        <item x="157"/>
        <item m="1" x="173"/>
        <item m="1" x="159"/>
        <item m="1" x="164"/>
        <item x="139"/>
        <item m="1" x="176"/>
        <item m="1" x="188"/>
        <item m="1" x="187"/>
        <item x="146"/>
        <item m="1" x="182"/>
        <item m="1" x="183"/>
        <item m="1" x="184"/>
        <item m="1" x="185"/>
        <item m="1" x="186"/>
        <item m="1" x="200"/>
        <item m="1" x="178"/>
        <item m="1" x="179"/>
        <item m="1" x="180"/>
        <item m="1" x="196"/>
        <item m="1" x="189"/>
        <item m="1" x="166"/>
        <item m="1" x="167"/>
        <item m="1" x="181"/>
        <item x="66"/>
        <item m="1" x="169"/>
        <item m="1" x="172"/>
        <item x="133"/>
        <item m="1" x="177"/>
        <item m="1" x="170"/>
        <item m="1" x="171"/>
        <item m="1" x="160"/>
        <item m="1" x="175"/>
        <item x="32"/>
        <item x="76"/>
        <item x="81"/>
        <item x="82"/>
        <item x="83"/>
        <item x="84"/>
        <item x="85"/>
        <item x="86"/>
        <item x="87"/>
        <item x="88"/>
        <item x="89"/>
        <item x="90"/>
        <item x="91"/>
        <item x="92"/>
        <item x="93"/>
        <item x="106"/>
        <item x="126"/>
        <item x="127"/>
        <item x="128"/>
        <item x="138"/>
        <item x="147"/>
        <item x="100"/>
        <item x="101"/>
        <item x="102"/>
      </items>
    </pivotField>
    <pivotField name="DESCRIPTION" axis="axisRow" outline="0" showAll="0" defaultSubtotal="0">
      <items count="222">
        <item x="127"/>
        <item x="36"/>
        <item x="142"/>
        <item x="69"/>
        <item x="68"/>
        <item m="1" x="217"/>
        <item m="1" x="216"/>
        <item x="145"/>
        <item x="146"/>
        <item m="1" x="195"/>
        <item x="67"/>
        <item m="1" x="186"/>
        <item x="144"/>
        <item m="1" x="174"/>
        <item m="1" x="203"/>
        <item m="1" x="215"/>
        <item m="1" x="206"/>
        <item sd="0" m="1" x="172"/>
        <item x="40"/>
        <item x="139"/>
        <item x="138"/>
        <item x="78"/>
        <item x="132"/>
        <item x="79"/>
        <item x="77"/>
        <item x="137"/>
        <item x="153"/>
        <item x="93"/>
        <item x="94"/>
        <item x="92"/>
        <item m="1" x="221"/>
        <item m="1" x="159"/>
        <item m="1" x="160"/>
        <item m="1" x="161"/>
        <item x="25"/>
        <item x="26"/>
        <item x="24"/>
        <item x="29"/>
        <item x="28"/>
        <item x="27"/>
        <item x="20"/>
        <item m="1" x="208"/>
        <item m="1" x="212"/>
        <item m="1" x="207"/>
        <item m="1" x="209"/>
        <item m="1" x="210"/>
        <item m="1" x="202"/>
        <item x="118"/>
        <item m="1" x="205"/>
        <item x="21"/>
        <item x="30"/>
        <item x="16"/>
        <item m="1" x="190"/>
        <item m="1" x="193"/>
        <item m="1" x="191"/>
        <item m="1" x="192"/>
        <item x="17"/>
        <item x="31"/>
        <item x="18"/>
        <item x="19"/>
        <item x="23"/>
        <item x="22"/>
        <item x="106"/>
        <item x="107"/>
        <item x="108"/>
        <item x="117"/>
        <item x="119"/>
        <item x="120"/>
        <item m="1" x="214"/>
        <item x="39"/>
        <item x="35"/>
        <item x="34"/>
        <item m="1" x="163"/>
        <item x="38"/>
        <item x="33"/>
        <item m="1" x="211"/>
        <item m="1" x="218"/>
        <item m="1" x="220"/>
        <item x="113"/>
        <item x="112"/>
        <item x="95"/>
        <item x="97"/>
        <item m="1" x="204"/>
        <item x="96"/>
        <item x="105"/>
        <item x="110"/>
        <item x="114"/>
        <item x="122"/>
        <item x="111"/>
        <item m="1" x="155"/>
        <item x="123"/>
        <item x="109"/>
        <item x="115"/>
        <item x="121"/>
        <item x="53"/>
        <item x="58"/>
        <item x="70"/>
        <item x="73"/>
        <item x="62"/>
        <item x="64"/>
        <item x="60"/>
        <item x="59"/>
        <item x="54"/>
        <item x="56"/>
        <item m="1" x="196"/>
        <item m="1" x="197"/>
        <item x="65"/>
        <item x="63"/>
        <item x="74"/>
        <item x="61"/>
        <item x="55"/>
        <item x="57"/>
        <item x="71"/>
        <item x="72"/>
        <item x="7"/>
        <item m="1" x="189"/>
        <item m="1" x="188"/>
        <item x="140"/>
        <item x="10"/>
        <item x="14"/>
        <item x="11"/>
        <item x="12"/>
        <item x="8"/>
        <item x="15"/>
        <item x="9"/>
        <item x="13"/>
        <item x="37"/>
        <item x="42"/>
        <item x="47"/>
        <item x="133"/>
        <item x="0"/>
        <item x="4"/>
        <item x="6"/>
        <item x="5"/>
        <item x="44"/>
        <item x="45"/>
        <item x="46"/>
        <item x="131"/>
        <item x="49"/>
        <item x="41"/>
        <item x="52"/>
        <item x="2"/>
        <item x="1"/>
        <item x="3"/>
        <item m="1" x="166"/>
        <item x="50"/>
        <item x="141"/>
        <item x="51"/>
        <item x="76"/>
        <item m="1" x="171"/>
        <item m="1" x="219"/>
        <item x="134"/>
        <item x="101"/>
        <item x="102"/>
        <item x="103"/>
        <item x="43"/>
        <item x="48"/>
        <item x="148"/>
        <item x="152"/>
        <item x="147"/>
        <item x="149"/>
        <item x="151"/>
        <item x="150"/>
        <item m="1" x="200"/>
        <item m="1" x="213"/>
        <item m="1" x="162"/>
        <item x="136"/>
        <item m="1" x="185"/>
        <item m="1" x="180"/>
        <item m="1" x="181"/>
        <item m="1" x="182"/>
        <item x="128"/>
        <item m="1" x="198"/>
        <item m="1" x="199"/>
        <item m="1" x="201"/>
        <item m="1" x="176"/>
        <item m="1" x="177"/>
        <item m="1" x="178"/>
        <item m="1" x="194"/>
        <item m="1" x="187"/>
        <item m="1" x="164"/>
        <item m="1" x="165"/>
        <item m="1" x="179"/>
        <item x="66"/>
        <item m="1" x="167"/>
        <item m="1" x="170"/>
        <item m="1" x="183"/>
        <item m="1" x="184"/>
        <item x="130"/>
        <item m="1" x="175"/>
        <item m="1" x="168"/>
        <item m="1" x="169"/>
        <item m="1" x="158"/>
        <item x="129"/>
        <item m="1" x="173"/>
        <item x="32"/>
        <item x="75"/>
        <item m="1" x="154"/>
        <item x="81"/>
        <item x="82"/>
        <item x="83"/>
        <item x="84"/>
        <item x="85"/>
        <item x="86"/>
        <item x="87"/>
        <item x="88"/>
        <item x="89"/>
        <item x="90"/>
        <item x="91"/>
        <item x="104"/>
        <item x="124"/>
        <item m="1" x="156"/>
        <item m="1" x="157"/>
        <item x="135"/>
        <item x="143"/>
        <item x="80"/>
        <item x="98"/>
        <item x="99"/>
        <item x="100"/>
        <item x="116"/>
        <item x="125"/>
        <item x="126"/>
      </items>
    </pivotField>
    <pivotField axis="axisRow" outline="0" showAll="0" defaultSubtotal="0">
      <items count="66">
        <item x="20"/>
        <item x="42"/>
        <item x="25"/>
        <item m="1" x="64"/>
        <item x="6"/>
        <item m="1" x="62"/>
        <item x="1"/>
        <item x="38"/>
        <item x="24"/>
        <item m="1" x="50"/>
        <item x="39"/>
        <item x="36"/>
        <item x="34"/>
        <item m="1" x="53"/>
        <item x="2"/>
        <item x="18"/>
        <item x="26"/>
        <item m="1" x="47"/>
        <item x="46"/>
        <item x="32"/>
        <item x="30"/>
        <item x="35"/>
        <item x="0"/>
        <item x="40"/>
        <item x="7"/>
        <item x="3"/>
        <item x="31"/>
        <item x="5"/>
        <item m="1" x="59"/>
        <item x="22"/>
        <item x="4"/>
        <item x="16"/>
        <item m="1" x="52"/>
        <item x="43"/>
        <item x="21"/>
        <item x="45"/>
        <item x="17"/>
        <item m="1" x="63"/>
        <item x="14"/>
        <item x="44"/>
        <item x="15"/>
        <item m="1" x="61"/>
        <item x="12"/>
        <item m="1" x="65"/>
        <item x="11"/>
        <item x="10"/>
        <item x="8"/>
        <item m="1" x="60"/>
        <item x="23"/>
        <item x="9"/>
        <item m="1" x="57"/>
        <item m="1" x="58"/>
        <item x="37"/>
        <item m="1" x="48"/>
        <item m="1" x="49"/>
        <item m="1" x="54"/>
        <item m="1" x="55"/>
        <item x="33"/>
        <item m="1" x="56"/>
        <item m="1" x="51"/>
        <item x="13"/>
        <item x="19"/>
        <item x="27"/>
        <item x="28"/>
        <item x="29"/>
        <item x="41"/>
      </items>
    </pivotField>
    <pivotField axis="axisRow" outline="0" showAll="0" defaultSubtotal="0">
      <items count="91">
        <item x="30"/>
        <item m="1" x="82"/>
        <item m="1" x="63"/>
        <item x="57"/>
        <item m="1" x="84"/>
        <item m="1" x="67"/>
        <item x="60"/>
        <item x="61"/>
        <item m="1" x="89"/>
        <item m="1" x="79"/>
        <item x="59"/>
        <item x="38"/>
        <item x="58"/>
        <item x="21"/>
        <item x="32"/>
        <item x="25"/>
        <item x="8"/>
        <item x="16"/>
        <item m="1" x="80"/>
        <item m="1" x="85"/>
        <item x="44"/>
        <item m="1" x="69"/>
        <item x="23"/>
        <item x="24"/>
        <item m="1" x="81"/>
        <item x="18"/>
        <item x="6"/>
        <item x="17"/>
        <item x="9"/>
        <item x="1"/>
        <item x="22"/>
        <item x="26"/>
        <item x="19"/>
        <item x="37"/>
        <item x="5"/>
        <item x="4"/>
        <item x="52"/>
        <item x="12"/>
        <item x="33"/>
        <item m="1" x="88"/>
        <item x="27"/>
        <item x="14"/>
        <item m="1" x="87"/>
        <item x="53"/>
        <item m="1" x="74"/>
        <item x="49"/>
        <item x="47"/>
        <item x="31"/>
        <item x="56"/>
        <item x="3"/>
        <item x="35"/>
        <item x="2"/>
        <item x="28"/>
        <item m="1" x="75"/>
        <item x="43"/>
        <item x="62"/>
        <item x="48"/>
        <item x="45"/>
        <item x="11"/>
        <item x="13"/>
        <item x="34"/>
        <item x="0"/>
        <item x="54"/>
        <item m="1" x="83"/>
        <item m="1" x="86"/>
        <item x="36"/>
        <item m="1" x="90"/>
        <item x="15"/>
        <item m="1" x="70"/>
        <item m="1" x="77"/>
        <item m="1" x="78"/>
        <item m="1" x="76"/>
        <item x="51"/>
        <item x="7"/>
        <item m="1" x="64"/>
        <item m="1" x="66"/>
        <item m="1" x="71"/>
        <item m="1" x="72"/>
        <item x="46"/>
        <item m="1" x="73"/>
        <item m="1" x="68"/>
        <item m="1" x="65"/>
        <item x="10"/>
        <item x="20"/>
        <item x="29"/>
        <item x="39"/>
        <item x="40"/>
        <item x="41"/>
        <item x="42"/>
        <item x="50"/>
        <item x="55"/>
      </items>
    </pivotField>
    <pivotField axis="axisRow" outline="0" showAll="0" defaultSubtotal="0">
      <items count="40">
        <item m="1" x="37"/>
        <item x="8"/>
        <item x="11"/>
        <item x="12"/>
        <item x="14"/>
        <item x="13"/>
        <item x="19"/>
        <item x="25"/>
        <item x="15"/>
        <item x="16"/>
        <item x="20"/>
        <item m="1" x="38"/>
        <item x="4"/>
        <item x="18"/>
        <item x="22"/>
        <item m="1" x="30"/>
        <item m="1" x="39"/>
        <item x="6"/>
        <item x="3"/>
        <item x="23"/>
        <item x="21"/>
        <item x="10"/>
        <item x="2"/>
        <item x="7"/>
        <item x="1"/>
        <item x="0"/>
        <item x="27"/>
        <item x="28"/>
        <item x="9"/>
        <item x="26"/>
        <item x="29"/>
        <item m="1" x="34"/>
        <item m="1" x="35"/>
        <item m="1" x="36"/>
        <item x="5"/>
        <item m="1" x="31"/>
        <item m="1" x="33"/>
        <item m="1" x="32"/>
        <item x="17"/>
        <item x="24"/>
      </items>
    </pivotField>
    <pivotField axis="axisRow" outline="0" showAll="0" defaultSubtotal="0">
      <items count="22">
        <item m="1" x="11"/>
        <item m="1" x="17"/>
        <item m="1" x="16"/>
        <item m="1" x="18"/>
        <item m="1" x="15"/>
        <item m="1" x="21"/>
        <item m="1" x="19"/>
        <item m="1" x="6"/>
        <item m="1" x="20"/>
        <item m="1" x="14"/>
        <item m="1" x="7"/>
        <item m="1" x="10"/>
        <item m="1" x="13"/>
        <item m="1" x="8"/>
        <item m="1" x="9"/>
        <item m="1" x="12"/>
        <item x="0"/>
        <item x="3"/>
        <item x="2"/>
        <item x="5"/>
        <item x="1"/>
        <item x="4"/>
      </items>
    </pivotField>
    <pivotField axis="axisRow" outline="0" showAll="0" defaultSubtotal="0">
      <items count="17">
        <item m="1" x="16"/>
        <item m="1" x="13"/>
        <item m="1" x="14"/>
        <item m="1" x="11"/>
        <item m="1" x="10"/>
        <item m="1" x="15"/>
        <item m="1" x="5"/>
        <item m="1" x="9"/>
        <item m="1" x="12"/>
        <item m="1" x="8"/>
        <item m="1" x="6"/>
        <item m="1" x="7"/>
        <item x="0"/>
        <item x="1"/>
        <item x="2"/>
        <item x="3"/>
        <item x="4"/>
      </items>
    </pivotField>
    <pivotField axis="axisRow" showAll="0">
      <items count="21">
        <item m="1" x="16"/>
        <item x="6"/>
        <item x="9"/>
        <item x="8"/>
        <item x="0"/>
        <item x="7"/>
        <item m="1" x="19"/>
        <item x="1"/>
        <item x="4"/>
        <item x="3"/>
        <item m="1" x="15"/>
        <item x="2"/>
        <item x="5"/>
        <item x="10"/>
        <item x="11"/>
        <item m="1" x="18"/>
        <item x="13"/>
        <item m="1" x="17"/>
        <item x="14"/>
        <item x="12"/>
        <item t="default"/>
      </items>
    </pivotField>
    <pivotField name="FOB PRICE" axis="axisRow" outline="0" showAll="0" defaultSubtotal="0">
      <items count="281">
        <item m="1" x="184"/>
        <item x="102"/>
        <item m="1" x="185"/>
        <item m="1" x="280"/>
        <item m="1" x="252"/>
        <item m="1" x="260"/>
        <item x="136"/>
        <item m="1" x="207"/>
        <item m="1" x="188"/>
        <item x="126"/>
        <item x="124"/>
        <item m="1" x="215"/>
        <item m="1" x="179"/>
        <item m="1" x="238"/>
        <item m="1" x="228"/>
        <item m="1" x="257"/>
        <item x="74"/>
        <item x="41"/>
        <item m="1" x="225"/>
        <item m="1" x="251"/>
        <item x="138"/>
        <item m="1" x="271"/>
        <item m="1" x="269"/>
        <item m="1" x="200"/>
        <item m="1" x="218"/>
        <item x="110"/>
        <item m="1" x="242"/>
        <item m="1" x="186"/>
        <item m="1" x="248"/>
        <item m="1" x="232"/>
        <item m="1" x="259"/>
        <item m="1" x="229"/>
        <item m="1" x="146"/>
        <item m="1" x="196"/>
        <item m="1" x="276"/>
        <item m="1" x="224"/>
        <item m="1" x="209"/>
        <item m="1" x="219"/>
        <item x="113"/>
        <item m="1" x="217"/>
        <item m="1" x="151"/>
        <item m="1" x="239"/>
        <item m="1" x="279"/>
        <item x="49"/>
        <item x="9"/>
        <item x="77"/>
        <item m="1" x="231"/>
        <item m="1" x="208"/>
        <item m="1" x="243"/>
        <item m="1" x="212"/>
        <item m="1" x="247"/>
        <item m="1" x="250"/>
        <item m="1" x="234"/>
        <item m="1" x="191"/>
        <item x="128"/>
        <item x="76"/>
        <item m="1" x="227"/>
        <item m="1" x="272"/>
        <item m="1" x="192"/>
        <item m="1" x="210"/>
        <item x="75"/>
        <item x="26"/>
        <item m="1" x="245"/>
        <item x="78"/>
        <item m="1" x="222"/>
        <item m="1" x="263"/>
        <item m="1" x="187"/>
        <item x="117"/>
        <item m="1" x="176"/>
        <item x="64"/>
        <item m="1" x="240"/>
        <item m="1" x="190"/>
        <item m="1" x="274"/>
        <item x="125"/>
        <item x="65"/>
        <item x="44"/>
        <item m="1" x="258"/>
        <item m="1" x="267"/>
        <item x="116"/>
        <item x="31"/>
        <item m="1" x="246"/>
        <item m="1" x="230"/>
        <item m="1" x="277"/>
        <item m="1" x="201"/>
        <item m="1" x="220"/>
        <item m="1" x="244"/>
        <item m="1" x="213"/>
        <item x="112"/>
        <item m="1" x="226"/>
        <item x="66"/>
        <item x="115"/>
        <item m="1" x="223"/>
        <item m="1" x="168"/>
        <item x="114"/>
        <item m="1" x="214"/>
        <item m="1" x="270"/>
        <item m="1" x="193"/>
        <item m="1" x="237"/>
        <item m="1" x="278"/>
        <item m="1" x="206"/>
        <item x="118"/>
        <item m="1" x="264"/>
        <item m="1" x="198"/>
        <item x="119"/>
        <item m="1" x="160"/>
        <item m="1" x="254"/>
        <item m="1" x="262"/>
        <item m="1" x="275"/>
        <item x="120"/>
        <item m="1" x="181"/>
        <item x="122"/>
        <item m="1" x="143"/>
        <item m="1" x="235"/>
        <item m="1" x="253"/>
        <item x="123"/>
        <item x="133"/>
        <item m="1" x="142"/>
        <item m="1" x="144"/>
        <item m="1" x="171"/>
        <item m="1" x="211"/>
        <item x="129"/>
        <item m="1" x="194"/>
        <item m="1" x="233"/>
        <item m="1" x="183"/>
        <item m="1" x="202"/>
        <item x="121"/>
        <item x="72"/>
        <item x="36"/>
        <item x="0"/>
        <item x="1"/>
        <item m="1" x="221"/>
        <item x="3"/>
        <item x="4"/>
        <item x="5"/>
        <item x="6"/>
        <item x="7"/>
        <item x="8"/>
        <item x="10"/>
        <item m="1" x="273"/>
        <item x="16"/>
        <item x="13"/>
        <item x="14"/>
        <item m="1" x="197"/>
        <item x="15"/>
        <item m="1" x="256"/>
        <item m="1" x="261"/>
        <item x="20"/>
        <item x="21"/>
        <item m="1" x="236"/>
        <item m="1" x="205"/>
        <item m="1" x="268"/>
        <item x="25"/>
        <item m="1" x="266"/>
        <item x="29"/>
        <item x="30"/>
        <item x="32"/>
        <item x="33"/>
        <item m="1" x="145"/>
        <item x="34"/>
        <item x="35"/>
        <item m="1" x="147"/>
        <item m="1" x="141"/>
        <item x="39"/>
        <item x="40"/>
        <item x="42"/>
        <item m="1" x="149"/>
        <item x="43"/>
        <item x="46"/>
        <item x="47"/>
        <item x="48"/>
        <item x="50"/>
        <item m="1" x="203"/>
        <item x="54"/>
        <item x="53"/>
        <item m="1" x="204"/>
        <item x="52"/>
        <item m="1" x="152"/>
        <item m="1" x="153"/>
        <item m="1" x="154"/>
        <item x="60"/>
        <item m="1" x="155"/>
        <item m="1" x="216"/>
        <item m="1" x="156"/>
        <item x="67"/>
        <item x="68"/>
        <item x="69"/>
        <item m="1" x="175"/>
        <item x="70"/>
        <item m="1" x="177"/>
        <item m="1" x="178"/>
        <item m="1" x="199"/>
        <item m="1" x="249"/>
        <item m="1" x="189"/>
        <item x="111"/>
        <item m="1" x="161"/>
        <item m="1" x="169"/>
        <item m="1" x="182"/>
        <item m="1" x="140"/>
        <item m="1" x="241"/>
        <item x="62"/>
        <item m="1" x="180"/>
        <item x="28"/>
        <item x="132"/>
        <item x="17"/>
        <item x="18"/>
        <item m="1" x="195"/>
        <item x="19"/>
        <item m="1" x="150"/>
        <item m="1" x="173"/>
        <item m="1" x="174"/>
        <item m="1" x="157"/>
        <item x="45"/>
        <item m="1" x="162"/>
        <item m="1" x="172"/>
        <item x="11"/>
        <item m="1" x="255"/>
        <item m="1" x="265"/>
        <item x="22"/>
        <item x="23"/>
        <item x="24"/>
        <item x="27"/>
        <item m="1" x="170"/>
        <item x="12"/>
        <item m="1" x="164"/>
        <item m="1" x="165"/>
        <item m="1" x="166"/>
        <item m="1" x="148"/>
        <item m="1" x="163"/>
        <item x="51"/>
        <item x="55"/>
        <item x="56"/>
        <item x="57"/>
        <item x="58"/>
        <item x="59"/>
        <item x="61"/>
        <item x="63"/>
        <item x="100"/>
        <item x="101"/>
        <item x="103"/>
        <item m="1" x="167"/>
        <item x="131"/>
        <item x="134"/>
        <item x="135"/>
        <item x="137"/>
        <item x="139"/>
        <item m="1" x="158"/>
        <item m="1" x="159"/>
        <item x="107"/>
        <item x="37"/>
        <item x="38"/>
        <item x="71"/>
        <item x="73"/>
        <item x="79"/>
        <item x="80"/>
        <item x="81"/>
        <item x="82"/>
        <item x="83"/>
        <item x="84"/>
        <item x="85"/>
        <item x="86"/>
        <item x="87"/>
        <item x="88"/>
        <item x="89"/>
        <item x="90"/>
        <item x="91"/>
        <item x="92"/>
        <item x="93"/>
        <item x="94"/>
        <item x="95"/>
        <item x="96"/>
        <item x="97"/>
        <item x="98"/>
        <item x="99"/>
        <item x="108"/>
        <item x="109"/>
        <item x="127"/>
        <item x="130"/>
        <item x="2"/>
        <item x="104"/>
        <item x="105"/>
        <item x="106"/>
      </items>
    </pivotField>
  </pivotFields>
  <rowFields count="10">
    <field x="0"/>
    <field x="1"/>
    <field x="2"/>
    <field x="6"/>
    <field x="7"/>
    <field x="9"/>
    <field x="5"/>
    <field x="4"/>
    <field x="3"/>
    <field x="8"/>
  </rowFields>
  <rowItems count="198">
    <i>
      <x/>
      <x v="97"/>
      <x v="139"/>
      <x v="16"/>
      <x v="12"/>
      <x v="16"/>
      <x v="25"/>
      <x v="51"/>
      <x v="14"/>
      <x v="7"/>
    </i>
    <i r="1">
      <x v="112"/>
      <x v="148"/>
      <x v="16"/>
      <x v="12"/>
      <x v="60"/>
      <x v="25"/>
      <x v="84"/>
      <x v="61"/>
      <x v="7"/>
    </i>
    <i r="1">
      <x v="121"/>
      <x v="95"/>
      <x v="16"/>
      <x v="12"/>
      <x v="55"/>
      <x v="5"/>
      <x v="25"/>
      <x v="42"/>
      <x v="4"/>
    </i>
    <i r="1">
      <x v="141"/>
      <x v="24"/>
      <x v="16"/>
      <x v="12"/>
      <x v="45"/>
      <x v="25"/>
      <x v="52"/>
      <x v="15"/>
      <x v="7"/>
    </i>
    <i r="1">
      <x v="143"/>
      <x v="21"/>
      <x v="16"/>
      <x v="12"/>
      <x v="55"/>
      <x v="25"/>
      <x v="52"/>
      <x v="15"/>
      <x v="7"/>
    </i>
    <i r="1">
      <x v="144"/>
      <x v="23"/>
      <x v="16"/>
      <x v="12"/>
      <x v="55"/>
      <x v="25"/>
      <x v="52"/>
      <x v="15"/>
      <x v="7"/>
    </i>
    <i r="1">
      <x v="158"/>
      <x v="97"/>
      <x v="16"/>
      <x v="12"/>
      <x v="63"/>
      <x v="9"/>
      <x v="40"/>
      <x v="38"/>
      <x v="5"/>
    </i>
    <i r="1">
      <x v="202"/>
      <x v="215"/>
      <x v="18"/>
      <x v="12"/>
      <x v="252"/>
      <x v="25"/>
      <x v="52"/>
      <x v="15"/>
      <x v="7"/>
    </i>
    <i>
      <x v="1"/>
      <x v="1"/>
      <x v="130"/>
      <x v="16"/>
      <x v="12"/>
      <x v="128"/>
      <x v="25"/>
      <x v="61"/>
      <x v="22"/>
      <x v="4"/>
    </i>
    <i r="1">
      <x v="2"/>
      <x v="142"/>
      <x v="16"/>
      <x v="12"/>
      <x v="129"/>
      <x v="25"/>
      <x v="29"/>
      <x v="6"/>
      <x v="7"/>
    </i>
    <i r="1">
      <x v="3"/>
      <x v="141"/>
      <x v="16"/>
      <x v="12"/>
      <x v="277"/>
      <x v="25"/>
      <x v="29"/>
      <x v="6"/>
      <x v="7"/>
    </i>
    <i r="1">
      <x v="4"/>
      <x v="143"/>
      <x v="16"/>
      <x v="12"/>
      <x v="131"/>
      <x v="25"/>
      <x v="29"/>
      <x v="6"/>
      <x v="7"/>
    </i>
    <i r="1">
      <x v="5"/>
      <x v="131"/>
      <x v="16"/>
      <x v="12"/>
      <x v="132"/>
      <x v="25"/>
      <x v="51"/>
      <x v="14"/>
      <x v="4"/>
    </i>
    <i r="1">
      <x v="6"/>
      <x v="133"/>
      <x v="16"/>
      <x v="12"/>
      <x v="133"/>
      <x v="25"/>
      <x v="61"/>
      <x v="22"/>
      <x v="7"/>
    </i>
    <i r="1">
      <x v="7"/>
      <x v="132"/>
      <x v="16"/>
      <x v="12"/>
      <x v="134"/>
      <x v="25"/>
      <x v="61"/>
      <x v="22"/>
      <x v="7"/>
    </i>
    <i r="1">
      <x v="8"/>
      <x v="114"/>
      <x v="16"/>
      <x v="12"/>
      <x v="135"/>
      <x v="25"/>
      <x v="61"/>
      <x v="22"/>
      <x v="7"/>
    </i>
    <i r="1">
      <x v="13"/>
      <x v="122"/>
      <x v="16"/>
      <x v="12"/>
      <x v="136"/>
      <x v="24"/>
      <x v="49"/>
      <x v="14"/>
      <x v="11"/>
    </i>
    <i r="1">
      <x v="14"/>
      <x v="124"/>
      <x v="16"/>
      <x v="12"/>
      <x v="44"/>
      <x v="24"/>
      <x v="49"/>
      <x v="14"/>
      <x v="11"/>
    </i>
    <i r="1">
      <x v="15"/>
      <x v="118"/>
      <x v="16"/>
      <x v="12"/>
      <x v="137"/>
      <x v="22"/>
      <x v="35"/>
      <x v="14"/>
      <x v="11"/>
    </i>
    <i r="1">
      <x v="16"/>
      <x v="120"/>
      <x v="16"/>
      <x v="12"/>
      <x v="214"/>
      <x v="22"/>
      <x v="35"/>
      <x v="14"/>
      <x v="11"/>
    </i>
    <i r="1">
      <x v="17"/>
      <x v="121"/>
      <x v="16"/>
      <x v="12"/>
      <x v="222"/>
      <x v="22"/>
      <x v="35"/>
      <x v="14"/>
      <x v="11"/>
    </i>
    <i r="1">
      <x v="18"/>
      <x v="125"/>
      <x v="16"/>
      <x v="12"/>
      <x v="140"/>
      <x v="22"/>
      <x v="35"/>
      <x v="14"/>
      <x v="11"/>
    </i>
    <i r="1">
      <x v="19"/>
      <x v="119"/>
      <x v="16"/>
      <x v="12"/>
      <x v="141"/>
      <x v="24"/>
      <x v="49"/>
      <x v="14"/>
      <x v="11"/>
    </i>
    <i r="1">
      <x v="23"/>
      <x v="123"/>
      <x v="16"/>
      <x v="12"/>
      <x v="128"/>
      <x v="22"/>
      <x v="35"/>
      <x v="14"/>
      <x v="11"/>
    </i>
    <i r="1">
      <x v="24"/>
      <x v="51"/>
      <x v="16"/>
      <x v="12"/>
      <x v="143"/>
      <x v="18"/>
      <x v="34"/>
      <x v="25"/>
      <x v="9"/>
    </i>
    <i r="1">
      <x v="25"/>
      <x v="56"/>
      <x v="16"/>
      <x v="12"/>
      <x v="139"/>
      <x v="18"/>
      <x v="34"/>
      <x v="25"/>
      <x v="9"/>
    </i>
    <i r="1">
      <x v="29"/>
      <x v="58"/>
      <x v="16"/>
      <x v="12"/>
      <x v="203"/>
      <x v="12"/>
      <x v="26"/>
      <x v="30"/>
      <x v="8"/>
    </i>
    <i r="1">
      <x v="30"/>
      <x v="59"/>
      <x v="16"/>
      <x v="12"/>
      <x v="204"/>
      <x v="34"/>
      <x v="73"/>
      <x v="27"/>
      <x v="11"/>
    </i>
    <i r="1">
      <x v="31"/>
      <x v="40"/>
      <x v="16"/>
      <x v="12"/>
      <x v="206"/>
      <x v="18"/>
      <x v="34"/>
      <x v="25"/>
      <x v="9"/>
    </i>
    <i r="1">
      <x v="34"/>
      <x v="49"/>
      <x v="16"/>
      <x v="12"/>
      <x v="146"/>
      <x v="24"/>
      <x v="16"/>
      <x v="4"/>
      <x v="12"/>
    </i>
    <i r="1">
      <x v="35"/>
      <x v="61"/>
      <x v="16"/>
      <x v="12"/>
      <x v="147"/>
      <x v="24"/>
      <x v="16"/>
      <x v="4"/>
      <x v="12"/>
    </i>
    <i r="1">
      <x v="36"/>
      <x v="60"/>
      <x v="16"/>
      <x v="12"/>
      <x v="217"/>
      <x v="24"/>
      <x v="16"/>
      <x v="4"/>
      <x v="12"/>
    </i>
    <i r="1">
      <x v="37"/>
      <x v="36"/>
      <x v="16"/>
      <x v="12"/>
      <x v="218"/>
      <x v="17"/>
      <x v="28"/>
      <x v="24"/>
      <x v="9"/>
    </i>
    <i r="1">
      <x v="38"/>
      <x v="34"/>
      <x v="20"/>
      <x v="12"/>
      <x v="219"/>
      <x v="17"/>
      <x v="28"/>
      <x v="24"/>
      <x v="9"/>
    </i>
    <i r="1">
      <x v="39"/>
      <x v="35"/>
      <x v="16"/>
      <x v="12"/>
      <x v="151"/>
      <x v="17"/>
      <x v="28"/>
      <x v="24"/>
      <x v="9"/>
    </i>
    <i r="1">
      <x v="43"/>
      <x v="39"/>
      <x v="16"/>
      <x v="12"/>
      <x v="61"/>
      <x v="24"/>
      <x v="49"/>
      <x v="14"/>
      <x v="11"/>
    </i>
    <i r="1">
      <x v="47"/>
      <x v="38"/>
      <x v="16"/>
      <x v="12"/>
      <x v="220"/>
      <x v="24"/>
      <x v="49"/>
      <x v="14"/>
      <x v="11"/>
    </i>
    <i r="1">
      <x v="48"/>
      <x v="37"/>
      <x v="16"/>
      <x v="12"/>
      <x v="201"/>
      <x v="24"/>
      <x v="49"/>
      <x v="14"/>
      <x v="11"/>
    </i>
    <i r="1">
      <x v="67"/>
      <x v="50"/>
      <x v="16"/>
      <x v="12"/>
      <x v="153"/>
      <x v="17"/>
      <x v="28"/>
      <x v="24"/>
      <x v="9"/>
    </i>
    <i r="1">
      <x v="68"/>
      <x v="57"/>
      <x v="16"/>
      <x v="12"/>
      <x v="154"/>
      <x v="17"/>
      <x v="28"/>
      <x v="24"/>
      <x v="9"/>
    </i>
    <i r="1">
      <x v="80"/>
      <x v="74"/>
      <x v="16"/>
      <x v="12"/>
      <x v="155"/>
      <x v="23"/>
      <x v="58"/>
      <x v="22"/>
      <x v="7"/>
    </i>
    <i r="1">
      <x v="81"/>
      <x v="71"/>
      <x v="16"/>
      <x v="12"/>
      <x v="156"/>
      <x v="25"/>
      <x v="51"/>
      <x v="14"/>
      <x v="7"/>
    </i>
    <i r="1">
      <x v="82"/>
      <x v="70"/>
      <x v="16"/>
      <x v="12"/>
      <x v="158"/>
      <x v="25"/>
      <x v="51"/>
      <x v="14"/>
      <x v="7"/>
    </i>
    <i r="1">
      <x v="85"/>
      <x v="1"/>
      <x v="16"/>
      <x v="12"/>
      <x v="159"/>
      <x v="1"/>
      <x v="37"/>
      <x v="46"/>
      <x v="1"/>
    </i>
    <i r="1">
      <x v="86"/>
      <x v="126"/>
      <x v="16"/>
      <x v="12"/>
      <x v="127"/>
      <x v="25"/>
      <x v="61"/>
      <x v="22"/>
      <x v="5"/>
    </i>
    <i r="1">
      <x v="87"/>
      <x v="73"/>
      <x v="16"/>
      <x v="12"/>
      <x v="248"/>
      <x v="25"/>
      <x v="51"/>
      <x v="14"/>
      <x v="7"/>
    </i>
    <i r="1">
      <x v="88"/>
      <x v="69"/>
      <x v="16"/>
      <x v="12"/>
      <x v="249"/>
      <x v="28"/>
      <x v="59"/>
      <x v="14"/>
      <x v="7"/>
    </i>
    <i r="1">
      <x v="90"/>
      <x v="18"/>
      <x v="16"/>
      <x v="12"/>
      <x v="162"/>
      <x v="25"/>
      <x v="51"/>
      <x v="14"/>
      <x v="5"/>
    </i>
    <i r="1">
      <x v="97"/>
      <x v="139"/>
      <x v="16"/>
      <x v="12"/>
      <x v="163"/>
      <x v="25"/>
      <x v="51"/>
      <x v="14"/>
      <x v="7"/>
    </i>
    <i r="1">
      <x v="98"/>
      <x v="127"/>
      <x v="16"/>
      <x v="12"/>
      <x v="17"/>
      <x v="25"/>
      <x v="51"/>
      <x v="14"/>
      <x v="7"/>
    </i>
    <i r="1">
      <x v="99"/>
      <x v="155"/>
      <x v="16"/>
      <x v="12"/>
      <x v="164"/>
      <x v="25"/>
      <x v="61"/>
      <x v="22"/>
      <x v="5"/>
    </i>
    <i r="1">
      <x v="104"/>
      <x v="134"/>
      <x v="16"/>
      <x v="12"/>
      <x v="166"/>
      <x v="23"/>
      <x v="58"/>
      <x v="22"/>
      <x v="4"/>
    </i>
    <i r="1">
      <x v="105"/>
      <x v="135"/>
      <x v="16"/>
      <x v="12"/>
      <x v="79"/>
      <x v="21"/>
      <x v="41"/>
      <x v="22"/>
      <x v="4"/>
    </i>
    <i r="1">
      <x v="106"/>
      <x v="136"/>
      <x v="16"/>
      <x v="12"/>
      <x v="75"/>
      <x v="2"/>
      <x v="67"/>
      <x v="49"/>
      <x v="3"/>
    </i>
    <i r="1">
      <x v="107"/>
      <x v="128"/>
      <x v="16"/>
      <x v="12"/>
      <x v="211"/>
      <x v="2"/>
      <x v="17"/>
      <x v="45"/>
      <x v="3"/>
    </i>
    <i r="1">
      <x v="108"/>
      <x v="156"/>
      <x v="16"/>
      <x v="12"/>
      <x v="167"/>
      <x v="25"/>
      <x v="51"/>
      <x v="14"/>
      <x v="5"/>
    </i>
    <i r="1">
      <x v="110"/>
      <x v="138"/>
      <x v="16"/>
      <x v="12"/>
      <x v="168"/>
      <x v="25"/>
      <x v="51"/>
      <x v="14"/>
      <x v="7"/>
    </i>
    <i r="1">
      <x v="111"/>
      <x v="145"/>
      <x v="16"/>
      <x v="12"/>
      <x v="169"/>
      <x v="25"/>
      <x v="51"/>
      <x v="14"/>
      <x v="7"/>
    </i>
    <i r="1">
      <x v="113"/>
      <x v="147"/>
      <x v="16"/>
      <x v="12"/>
      <x v="43"/>
      <x v="25"/>
      <x v="51"/>
      <x v="14"/>
      <x v="5"/>
    </i>
    <i r="1">
      <x v="114"/>
      <x v="140"/>
      <x v="16"/>
      <x v="12"/>
      <x v="170"/>
      <x v="25"/>
      <x v="51"/>
      <x v="14"/>
      <x v="7"/>
    </i>
    <i r="1">
      <x v="116"/>
      <x v="94"/>
      <x v="16"/>
      <x v="12"/>
      <x v="228"/>
      <x v="3"/>
      <x v="27"/>
      <x v="44"/>
      <x v="4"/>
    </i>
    <i r="1">
      <x v="117"/>
      <x v="102"/>
      <x v="16"/>
      <x v="12"/>
      <x v="175"/>
      <x v="3"/>
      <x v="27"/>
      <x v="44"/>
      <x v="4"/>
    </i>
    <i r="1">
      <x v="118"/>
      <x v="110"/>
      <x v="16"/>
      <x v="12"/>
      <x v="173"/>
      <x v="3"/>
      <x v="27"/>
      <x v="44"/>
      <x v="4"/>
    </i>
    <i r="1">
      <x v="119"/>
      <x v="103"/>
      <x v="16"/>
      <x v="12"/>
      <x v="172"/>
      <x v="5"/>
      <x v="25"/>
      <x v="42"/>
      <x v="4"/>
    </i>
    <i r="1">
      <x v="120"/>
      <x v="111"/>
      <x v="16"/>
      <x v="12"/>
      <x v="229"/>
      <x v="5"/>
      <x v="25"/>
      <x v="42"/>
      <x v="4"/>
    </i>
    <i r="1">
      <x v="121"/>
      <x v="95"/>
      <x v="16"/>
      <x v="12"/>
      <x v="230"/>
      <x v="5"/>
      <x v="25"/>
      <x v="42"/>
      <x v="4"/>
    </i>
    <i r="1">
      <x v="122"/>
      <x v="101"/>
      <x v="16"/>
      <x v="12"/>
      <x v="231"/>
      <x v="5"/>
      <x v="32"/>
      <x v="44"/>
      <x v="4"/>
    </i>
    <i r="1">
      <x v="123"/>
      <x v="100"/>
      <x v="16"/>
      <x v="12"/>
      <x v="232"/>
      <x v="5"/>
      <x v="83"/>
      <x v="60"/>
      <x v="4"/>
    </i>
    <i r="1">
      <x v="124"/>
      <x v="109"/>
      <x v="16"/>
      <x v="12"/>
      <x v="233"/>
      <x v="5"/>
      <x v="13"/>
      <x v="38"/>
      <x v="4"/>
    </i>
    <i r="1">
      <x v="125"/>
      <x v="98"/>
      <x v="16"/>
      <x v="12"/>
      <x v="179"/>
      <x v="4"/>
      <x v="30"/>
      <x v="44"/>
      <x v="2"/>
    </i>
    <i r="1">
      <x v="126"/>
      <x v="107"/>
      <x v="16"/>
      <x v="12"/>
      <x v="234"/>
      <x v="5"/>
      <x v="13"/>
      <x v="38"/>
      <x v="4"/>
    </i>
    <i r="1">
      <x v="127"/>
      <x v="99"/>
      <x v="16"/>
      <x v="12"/>
      <x v="199"/>
      <x v="5"/>
      <x v="22"/>
      <x v="40"/>
      <x v="2"/>
    </i>
    <i r="1">
      <x v="128"/>
      <x v="106"/>
      <x v="16"/>
      <x v="12"/>
      <x v="235"/>
      <x v="5"/>
      <x v="13"/>
      <x v="38"/>
      <x v="4"/>
    </i>
    <i r="1">
      <x v="131"/>
      <x v="10"/>
      <x v="16"/>
      <x v="12"/>
      <x v="74"/>
      <x v="3"/>
      <x v="23"/>
      <x v="42"/>
      <x v="8"/>
    </i>
    <i r="1">
      <x v="133"/>
      <x v="4"/>
      <x v="16"/>
      <x v="12"/>
      <x v="89"/>
      <x v="3"/>
      <x v="23"/>
      <x v="42"/>
      <x v="8"/>
    </i>
    <i r="1">
      <x v="134"/>
      <x v="3"/>
      <x v="16"/>
      <x v="12"/>
      <x v="183"/>
      <x v="8"/>
      <x v="15"/>
      <x v="31"/>
      <x v="8"/>
    </i>
    <i r="1">
      <x v="151"/>
      <x v="96"/>
      <x v="16"/>
      <x v="12"/>
      <x v="184"/>
      <x v="8"/>
      <x v="31"/>
      <x v="36"/>
      <x v="5"/>
    </i>
    <i r="1">
      <x v="152"/>
      <x v="96"/>
      <x v="16"/>
      <x v="12"/>
      <x v="185"/>
      <x v="8"/>
      <x v="31"/>
      <x v="36"/>
      <x v="5"/>
    </i>
    <i r="1">
      <x v="155"/>
      <x v="112"/>
      <x v="16"/>
      <x v="12"/>
      <x v="187"/>
      <x v="8"/>
      <x v="31"/>
      <x v="36"/>
      <x v="5"/>
    </i>
    <i r="1">
      <x v="157"/>
      <x v="113"/>
      <x v="16"/>
      <x v="12"/>
      <x v="229"/>
      <x v="9"/>
      <x v="51"/>
      <x v="42"/>
      <x v="5"/>
    </i>
    <i r="1">
      <x v="158"/>
      <x v="97"/>
      <x v="16"/>
      <x v="12"/>
      <x v="250"/>
      <x v="9"/>
      <x v="40"/>
      <x v="38"/>
      <x v="5"/>
    </i>
    <i r="1">
      <x v="159"/>
      <x v="108"/>
      <x v="16"/>
      <x v="12"/>
      <x v="126"/>
      <x v="5"/>
      <x v="13"/>
      <x v="38"/>
      <x v="4"/>
    </i>
    <i r="1">
      <x v="191"/>
      <x v="183"/>
      <x v="16"/>
      <x v="12"/>
      <x v="69"/>
      <x v="5"/>
      <x v="25"/>
      <x v="42"/>
      <x v="4"/>
    </i>
    <i r="1">
      <x v="200"/>
      <x v="195"/>
      <x v="16"/>
      <x v="12"/>
      <x v="79"/>
      <x v="17"/>
      <x v="82"/>
      <x v="25"/>
      <x v="9"/>
    </i>
    <i r="1">
      <x v="201"/>
      <x v="196"/>
      <x v="16"/>
      <x v="12"/>
      <x v="251"/>
      <x v="25"/>
      <x v="52"/>
      <x v="15"/>
      <x v="7"/>
    </i>
    <i>
      <x v="3"/>
      <x v="20"/>
      <x v="29"/>
      <x v="16"/>
      <x v="12"/>
      <x v="236"/>
      <x v="13"/>
      <x v="47"/>
      <x v="34"/>
      <x v="13"/>
    </i>
    <i r="1">
      <x v="21"/>
      <x v="27"/>
      <x v="16"/>
      <x v="12"/>
      <x v="237"/>
      <x v="6"/>
      <x v="14"/>
      <x v="34"/>
      <x v="13"/>
    </i>
    <i r="1">
      <x v="22"/>
      <x v="28"/>
      <x v="16"/>
      <x v="12"/>
      <x v="1"/>
      <x v="10"/>
      <x v="38"/>
      <x v="34"/>
      <x v="13"/>
    </i>
    <i r="1">
      <x v="79"/>
      <x v="80"/>
      <x v="16"/>
      <x v="12"/>
      <x v="237"/>
      <x v="6"/>
      <x v="14"/>
      <x v="34"/>
      <x v="13"/>
    </i>
    <i r="1">
      <x v="160"/>
      <x v="83"/>
      <x v="16"/>
      <x v="12"/>
      <x v="236"/>
      <x v="20"/>
      <x v="60"/>
      <x v="29"/>
      <x v="13"/>
    </i>
    <i r="1">
      <x v="162"/>
      <x v="81"/>
      <x v="16"/>
      <x v="12"/>
      <x v="238"/>
      <x v="14"/>
      <x v="50"/>
      <x v="34"/>
      <x v="13"/>
    </i>
    <i>
      <x v="4"/>
      <x v="4"/>
      <x v="143"/>
      <x v="16"/>
      <x v="12"/>
      <x v="193"/>
      <x v="25"/>
      <x v="29"/>
      <x v="6"/>
      <x v="7"/>
    </i>
    <i r="1">
      <x v="6"/>
      <x v="133"/>
      <x v="16"/>
      <x v="12"/>
      <x v="87"/>
      <x v="25"/>
      <x v="61"/>
      <x v="22"/>
      <x v="7"/>
    </i>
    <i r="1">
      <x v="7"/>
      <x v="132"/>
      <x v="16"/>
      <x v="12"/>
      <x v="126"/>
      <x v="25"/>
      <x v="61"/>
      <x v="22"/>
      <x v="7"/>
    </i>
    <i r="1">
      <x v="12"/>
      <x v="84"/>
      <x v="16"/>
      <x v="12"/>
      <x v="38"/>
      <x v="24"/>
      <x v="33"/>
      <x v="8"/>
      <x v="11"/>
    </i>
    <i r="1">
      <x v="40"/>
      <x v="62"/>
      <x v="16"/>
      <x v="12"/>
      <x v="93"/>
      <x v="29"/>
      <x v="11"/>
      <x v="2"/>
      <x v="14"/>
    </i>
    <i r="1">
      <x v="41"/>
      <x v="63"/>
      <x v="16"/>
      <x v="12"/>
      <x v="90"/>
      <x v="29"/>
      <x v="11"/>
      <x v="2"/>
      <x v="14"/>
    </i>
    <i r="1">
      <x v="42"/>
      <x v="64"/>
      <x v="16"/>
      <x v="12"/>
      <x v="90"/>
      <x v="29"/>
      <x v="11"/>
      <x v="2"/>
      <x v="14"/>
    </i>
    <i r="1">
      <x v="44"/>
      <x v="91"/>
      <x v="16"/>
      <x v="12"/>
      <x v="38"/>
      <x v="24"/>
      <x v="33"/>
      <x v="8"/>
      <x v="11"/>
    </i>
    <i r="1">
      <x v="45"/>
      <x v="85"/>
      <x v="16"/>
      <x v="12"/>
      <x v="38"/>
      <x v="24"/>
      <x v="33"/>
      <x v="8"/>
      <x v="11"/>
    </i>
    <i r="1">
      <x v="46"/>
      <x v="88"/>
      <x v="16"/>
      <x v="12"/>
      <x v="38"/>
      <x v="24"/>
      <x v="33"/>
      <x v="8"/>
      <x v="11"/>
    </i>
    <i r="1">
      <x v="49"/>
      <x v="79"/>
      <x v="16"/>
      <x v="12"/>
      <x v="63"/>
      <x v="24"/>
      <x v="16"/>
      <x v="4"/>
      <x v="12"/>
    </i>
    <i r="1">
      <x v="50"/>
      <x v="78"/>
      <x v="16"/>
      <x v="12"/>
      <x v="55"/>
      <x v="24"/>
      <x v="16"/>
      <x v="4"/>
      <x v="12"/>
    </i>
    <i r="1">
      <x v="52"/>
      <x v="86"/>
      <x v="16"/>
      <x v="12"/>
      <x v="78"/>
      <x v="19"/>
      <x v="85"/>
      <x v="16"/>
      <x v="13"/>
    </i>
    <i r="1">
      <x v="53"/>
      <x v="92"/>
      <x v="16"/>
      <x v="12"/>
      <x v="67"/>
      <x v="17"/>
      <x v="28"/>
      <x v="24"/>
      <x v="9"/>
    </i>
    <i r="1">
      <x v="54"/>
      <x v="219"/>
      <x v="16"/>
      <x v="12"/>
      <x v="67"/>
      <x v="17"/>
      <x v="28"/>
      <x v="24"/>
      <x v="9"/>
    </i>
    <i r="1">
      <x v="55"/>
      <x v="65"/>
      <x v="16"/>
      <x v="12"/>
      <x v="100"/>
      <x v="29"/>
      <x v="11"/>
      <x v="2"/>
      <x v="14"/>
    </i>
    <i r="1">
      <x v="56"/>
      <x v="47"/>
      <x v="16"/>
      <x v="12"/>
      <x v="103"/>
      <x v="29"/>
      <x v="11"/>
      <x v="2"/>
      <x v="14"/>
    </i>
    <i r="1">
      <x v="57"/>
      <x v="66"/>
      <x v="16"/>
      <x v="12"/>
      <x v="103"/>
      <x v="29"/>
      <x v="11"/>
      <x v="2"/>
      <x v="14"/>
    </i>
    <i r="1">
      <x v="58"/>
      <x v="67"/>
      <x v="16"/>
      <x v="12"/>
      <x v="108"/>
      <x v="29"/>
      <x v="11"/>
      <x v="2"/>
      <x v="14"/>
    </i>
    <i r="1">
      <x v="60"/>
      <x v="93"/>
      <x v="16"/>
      <x v="12"/>
      <x v="125"/>
      <x v="24"/>
      <x v="86"/>
      <x v="62"/>
      <x v="11"/>
    </i>
    <i r="1">
      <x v="61"/>
      <x v="87"/>
      <x v="16"/>
      <x v="12"/>
      <x v="67"/>
      <x v="17"/>
      <x v="28"/>
      <x v="24"/>
      <x v="9"/>
    </i>
    <i r="1">
      <x v="62"/>
      <x v="90"/>
      <x v="16"/>
      <x v="12"/>
      <x v="67"/>
      <x v="18"/>
      <x v="87"/>
      <x v="63"/>
      <x v="9"/>
    </i>
    <i r="1">
      <x v="86"/>
      <x v="126"/>
      <x v="16"/>
      <x v="12"/>
      <x v="16"/>
      <x v="25"/>
      <x v="61"/>
      <x v="22"/>
      <x v="5"/>
    </i>
    <i r="1">
      <x v="89"/>
      <x/>
      <x v="16"/>
      <x v="12"/>
      <x v="25"/>
      <x v="23"/>
      <x v="54"/>
      <x v="20"/>
      <x v="4"/>
    </i>
    <i r="1">
      <x v="91"/>
      <x v="171"/>
      <x v="16"/>
      <x v="12"/>
      <x v="110"/>
      <x v="14"/>
      <x v="20"/>
      <x v="26"/>
      <x v="3"/>
    </i>
    <i r="1">
      <x v="92"/>
      <x v="193"/>
      <x v="16"/>
      <x v="12"/>
      <x v="114"/>
      <x v="14"/>
      <x v="20"/>
      <x v="26"/>
      <x v="3"/>
    </i>
    <i r="1">
      <x v="94"/>
      <x v="1"/>
      <x v="16"/>
      <x v="12"/>
      <x v="16"/>
      <x v="25"/>
      <x v="57"/>
      <x v="19"/>
      <x v="5"/>
    </i>
    <i r="1">
      <x v="102"/>
      <x v="137"/>
      <x v="16"/>
      <x v="12"/>
      <x v="38"/>
      <x v="24"/>
      <x v="46"/>
      <x v="12"/>
      <x v="5"/>
    </i>
    <i r="1">
      <x v="103"/>
      <x v="22"/>
      <x v="16"/>
      <x v="12"/>
      <x v="60"/>
      <x v="23"/>
      <x v="56"/>
      <x v="21"/>
      <x v="4"/>
    </i>
    <i r="1">
      <x v="104"/>
      <x v="134"/>
      <x v="16"/>
      <x v="12"/>
      <x v="10"/>
      <x v="23"/>
      <x v="58"/>
      <x v="22"/>
      <x v="4"/>
    </i>
    <i r="1">
      <x v="106"/>
      <x v="136"/>
      <x v="16"/>
      <x v="12"/>
      <x v="73"/>
      <x v="2"/>
      <x v="67"/>
      <x v="49"/>
      <x v="3"/>
    </i>
    <i r="1">
      <x v="109"/>
      <x v="129"/>
      <x v="16"/>
      <x v="12"/>
      <x v="25"/>
      <x v="25"/>
      <x v="51"/>
      <x v="14"/>
      <x v="7"/>
    </i>
    <i r="1">
      <x v="112"/>
      <x v="148"/>
      <x v="16"/>
      <x v="12"/>
      <x v="60"/>
      <x v="25"/>
      <x v="84"/>
      <x v="61"/>
      <x v="7"/>
    </i>
    <i r="1">
      <x v="115"/>
      <x v="151"/>
      <x v="21"/>
      <x v="12"/>
      <x v="9"/>
      <x v="25"/>
      <x v="45"/>
      <x v="11"/>
      <x v="5"/>
    </i>
    <i r="1">
      <x v="120"/>
      <x v="111"/>
      <x v="16"/>
      <x v="12"/>
      <x v="45"/>
      <x v="5"/>
      <x v="25"/>
      <x v="42"/>
      <x v="4"/>
    </i>
    <i r="1">
      <x v="121"/>
      <x v="95"/>
      <x v="16"/>
      <x v="12"/>
      <x v="54"/>
      <x v="5"/>
      <x v="25"/>
      <x v="42"/>
      <x v="4"/>
    </i>
    <i r="1">
      <x v="125"/>
      <x v="98"/>
      <x v="16"/>
      <x v="12"/>
      <x v="55"/>
      <x v="4"/>
      <x v="30"/>
      <x v="44"/>
      <x v="2"/>
    </i>
    <i r="1">
      <x v="145"/>
      <x v="25"/>
      <x v="16"/>
      <x v="12"/>
      <x v="60"/>
      <x v="27"/>
      <x v="36"/>
      <x v="7"/>
      <x v="7"/>
    </i>
    <i r="1">
      <x v="147"/>
      <x v="20"/>
      <x v="16"/>
      <x v="12"/>
      <x v="55"/>
      <x v="27"/>
      <x v="36"/>
      <x v="7"/>
      <x v="7"/>
    </i>
    <i r="1">
      <x v="148"/>
      <x v="19"/>
      <x v="16"/>
      <x v="12"/>
      <x v="78"/>
      <x v="25"/>
      <x v="52"/>
      <x v="15"/>
      <x v="7"/>
    </i>
    <i r="1">
      <x v="149"/>
      <x v="117"/>
      <x v="16"/>
      <x v="12"/>
      <x v="60"/>
      <x v="25"/>
      <x v="43"/>
      <x v="10"/>
      <x v="7"/>
    </i>
    <i r="1">
      <x v="154"/>
      <x v="112"/>
      <x v="16"/>
      <x v="12"/>
      <x v="69"/>
      <x v="8"/>
      <x v="31"/>
      <x v="36"/>
      <x v="5"/>
    </i>
    <i r="1">
      <x v="157"/>
      <x v="113"/>
      <x v="16"/>
      <x v="12"/>
      <x v="67"/>
      <x v="9"/>
      <x v="51"/>
      <x v="42"/>
      <x v="5"/>
    </i>
    <i r="1">
      <x v="172"/>
      <x v="166"/>
      <x v="16"/>
      <x v="12"/>
      <x v="75"/>
      <x v="8"/>
      <x v="72"/>
      <x v="52"/>
      <x v="8"/>
    </i>
    <i r="1">
      <x v="194"/>
      <x v="188"/>
      <x v="16"/>
      <x v="12"/>
      <x v="69"/>
      <x v="23"/>
      <x v="78"/>
      <x v="57"/>
      <x v="4"/>
    </i>
    <i r="1">
      <x v="215"/>
      <x v="209"/>
      <x v="18"/>
      <x v="15"/>
      <x v="25"/>
      <x v="25"/>
      <x/>
      <x/>
      <x v="7"/>
    </i>
    <i r="1">
      <x v="216"/>
      <x v="210"/>
      <x v="16"/>
      <x v="12"/>
      <x v="78"/>
      <x v="26"/>
      <x v="88"/>
      <x v="64"/>
      <x v="19"/>
    </i>
    <i r="1">
      <x v="217"/>
      <x v="220"/>
      <x v="16"/>
      <x v="15"/>
      <x v="74"/>
      <x v="26"/>
      <x/>
      <x/>
      <x v="19"/>
    </i>
    <i r="1">
      <x v="218"/>
      <x v="221"/>
      <x v="16"/>
      <x v="15"/>
      <x v="78"/>
      <x v="26"/>
      <x v="88"/>
      <x v="64"/>
      <x v="19"/>
    </i>
    <i r="1">
      <x v="219"/>
      <x v="213"/>
      <x v="16"/>
      <x v="12"/>
      <x v="275"/>
      <x v="24"/>
      <x v="89"/>
      <x v="16"/>
      <x v="11"/>
    </i>
    <i>
      <x v="7"/>
      <x/>
      <x v="146"/>
      <x v="16"/>
      <x v="12"/>
      <x v="45"/>
      <x v="25"/>
      <x v="62"/>
      <x v="23"/>
      <x v="4"/>
    </i>
    <i r="1">
      <x v="80"/>
      <x v="74"/>
      <x v="16"/>
      <x v="12"/>
      <x v="60"/>
      <x v="23"/>
      <x v="58"/>
      <x v="22"/>
      <x v="7"/>
    </i>
    <i r="1">
      <x v="81"/>
      <x v="71"/>
      <x v="16"/>
      <x v="12"/>
      <x v="63"/>
      <x v="25"/>
      <x v="51"/>
      <x v="14"/>
      <x v="7"/>
    </i>
    <i r="1">
      <x v="82"/>
      <x v="70"/>
      <x v="16"/>
      <x v="12"/>
      <x v="60"/>
      <x v="25"/>
      <x v="51"/>
      <x v="14"/>
      <x v="7"/>
    </i>
    <i r="1">
      <x v="96"/>
      <x v="2"/>
      <x v="16"/>
      <x v="12"/>
      <x v="120"/>
      <x v="30"/>
      <x v="48"/>
      <x v="1"/>
      <x v="16"/>
    </i>
    <i r="1">
      <x v="111"/>
      <x v="145"/>
      <x v="16"/>
      <x v="12"/>
      <x v="67"/>
      <x v="25"/>
      <x v="51"/>
      <x v="14"/>
      <x v="7"/>
    </i>
    <i r="1">
      <x v="112"/>
      <x v="148"/>
      <x v="16"/>
      <x v="12"/>
      <x v="55"/>
      <x v="25"/>
      <x v="84"/>
      <x v="61"/>
      <x v="7"/>
    </i>
    <i r="1">
      <x v="135"/>
      <x v="12"/>
      <x v="16"/>
      <x v="12"/>
      <x v="69"/>
      <x v="3"/>
      <x v="3"/>
      <x v="33"/>
      <x v="8"/>
    </i>
    <i r="1">
      <x v="136"/>
      <x v="7"/>
      <x v="16"/>
      <x v="12"/>
      <x v="69"/>
      <x v="3"/>
      <x v="3"/>
      <x v="33"/>
      <x v="8"/>
    </i>
    <i r="1">
      <x v="137"/>
      <x v="8"/>
      <x v="16"/>
      <x v="12"/>
      <x v="73"/>
      <x v="3"/>
      <x v="12"/>
      <x v="39"/>
      <x v="8"/>
    </i>
    <i r="1">
      <x v="163"/>
      <x v="159"/>
      <x v="16"/>
      <x v="12"/>
      <x v="240"/>
      <x v="5"/>
      <x v="10"/>
      <x v="36"/>
      <x v="4"/>
    </i>
    <i r="1">
      <x v="164"/>
      <x v="157"/>
      <x v="16"/>
      <x v="12"/>
      <x v="202"/>
      <x v="3"/>
      <x v="6"/>
      <x v="36"/>
      <x v="4"/>
    </i>
    <i r="1">
      <x v="165"/>
      <x v="160"/>
      <x v="16"/>
      <x v="12"/>
      <x v="115"/>
      <x v="3"/>
      <x v="6"/>
      <x v="36"/>
      <x v="4"/>
    </i>
    <i r="1">
      <x v="166"/>
      <x v="162"/>
      <x v="16"/>
      <x v="12"/>
      <x v="241"/>
      <x v="3"/>
      <x v="6"/>
      <x v="36"/>
      <x v="4"/>
    </i>
    <i r="1">
      <x v="167"/>
      <x v="161"/>
      <x v="16"/>
      <x v="12"/>
      <x v="115"/>
      <x v="4"/>
      <x v="7"/>
      <x v="35"/>
      <x v="2"/>
    </i>
    <i r="1">
      <x v="168"/>
      <x v="158"/>
      <x v="16"/>
      <x v="12"/>
      <x v="241"/>
      <x v="4"/>
      <x v="7"/>
      <x v="35"/>
      <x v="2"/>
    </i>
    <i r="1">
      <x v="176"/>
      <x v="2"/>
      <x v="16"/>
      <x v="12"/>
      <x v="120"/>
      <x v="13"/>
      <x v="90"/>
      <x v="65"/>
      <x v="13"/>
    </i>
    <i r="1">
      <x v="220"/>
      <x v="214"/>
      <x v="19"/>
      <x v="16"/>
      <x v="276"/>
      <x v="13"/>
      <x v="90"/>
      <x v="65"/>
      <x v="13"/>
    </i>
    <i>
      <x v="8"/>
      <x v="20"/>
      <x v="29"/>
      <x v="16"/>
      <x v="12"/>
      <x v="242"/>
      <x v="13"/>
      <x v="47"/>
      <x v="34"/>
      <x v="13"/>
    </i>
    <i r="1">
      <x v="21"/>
      <x v="27"/>
      <x v="16"/>
      <x v="12"/>
      <x v="6"/>
      <x v="6"/>
      <x v="14"/>
      <x v="34"/>
      <x v="13"/>
    </i>
    <i r="1">
      <x v="22"/>
      <x v="28"/>
      <x v="16"/>
      <x v="12"/>
      <x v="243"/>
      <x v="10"/>
      <x v="38"/>
      <x v="34"/>
      <x v="13"/>
    </i>
    <i r="1">
      <x v="79"/>
      <x v="80"/>
      <x v="16"/>
      <x v="12"/>
      <x v="6"/>
      <x v="6"/>
      <x v="14"/>
      <x v="34"/>
      <x v="13"/>
    </i>
    <i r="1">
      <x v="95"/>
      <x v="26"/>
      <x v="16"/>
      <x v="12"/>
      <x v="20"/>
      <x v="25"/>
      <x v="55"/>
      <x v="18"/>
      <x v="18"/>
    </i>
    <i r="1">
      <x v="160"/>
      <x v="83"/>
      <x v="16"/>
      <x v="12"/>
      <x v="242"/>
      <x v="20"/>
      <x v="60"/>
      <x v="29"/>
      <x v="13"/>
    </i>
    <i r="1">
      <x v="162"/>
      <x v="81"/>
      <x v="16"/>
      <x v="12"/>
      <x v="244"/>
      <x v="14"/>
      <x v="50"/>
      <x v="34"/>
      <x v="13"/>
    </i>
    <i>
      <x v="12"/>
      <x v="203"/>
      <x v="198"/>
      <x v="17"/>
      <x v="13"/>
      <x v="253"/>
      <x v="25"/>
      <x/>
      <x/>
      <x v="7"/>
    </i>
    <i r="5">
      <x v="254"/>
      <x v="25"/>
      <x/>
      <x/>
      <x v="7"/>
    </i>
    <i r="1">
      <x v="204"/>
      <x v="199"/>
      <x v="17"/>
      <x v="13"/>
      <x v="255"/>
      <x v="25"/>
      <x/>
      <x/>
      <x v="5"/>
    </i>
    <i r="5">
      <x v="256"/>
      <x v="25"/>
      <x/>
      <x/>
      <x v="5"/>
    </i>
    <i r="1">
      <x v="205"/>
      <x v="200"/>
      <x v="17"/>
      <x v="13"/>
      <x v="257"/>
      <x v="9"/>
      <x/>
      <x/>
      <x v="5"/>
    </i>
    <i r="5">
      <x v="258"/>
      <x v="9"/>
      <x/>
      <x/>
      <x v="5"/>
    </i>
    <i r="1">
      <x v="206"/>
      <x v="201"/>
      <x v="17"/>
      <x v="13"/>
      <x v="259"/>
      <x v="25"/>
      <x/>
      <x/>
      <x v="5"/>
    </i>
    <i r="5">
      <x v="260"/>
      <x v="25"/>
      <x/>
      <x/>
      <x v="5"/>
    </i>
    <i r="1">
      <x v="207"/>
      <x v="202"/>
      <x v="17"/>
      <x v="13"/>
      <x v="261"/>
      <x v="2"/>
      <x/>
      <x/>
      <x v="3"/>
    </i>
    <i r="5">
      <x v="262"/>
      <x v="2"/>
      <x/>
      <x/>
      <x v="3"/>
    </i>
    <i r="1">
      <x v="208"/>
      <x v="202"/>
      <x v="17"/>
      <x v="13"/>
      <x v="263"/>
      <x v="25"/>
      <x/>
      <x/>
      <x v="5"/>
    </i>
    <i r="5">
      <x v="264"/>
      <x v="25"/>
      <x/>
      <x/>
      <x v="5"/>
    </i>
    <i r="1">
      <x v="209"/>
      <x v="203"/>
      <x v="17"/>
      <x v="13"/>
      <x v="265"/>
      <x v="9"/>
      <x/>
      <x/>
      <x v="2"/>
    </i>
    <i r="5">
      <x v="266"/>
      <x v="9"/>
      <x/>
      <x/>
      <x v="2"/>
    </i>
    <i r="1">
      <x v="210"/>
      <x v="204"/>
      <x v="17"/>
      <x v="13"/>
      <x v="261"/>
      <x v="2"/>
      <x/>
      <x/>
      <x v="3"/>
    </i>
    <i r="5">
      <x v="262"/>
      <x v="2"/>
      <x/>
      <x/>
      <x v="3"/>
    </i>
    <i r="1">
      <x v="211"/>
      <x v="205"/>
      <x v="17"/>
      <x v="13"/>
      <x v="267"/>
      <x v="9"/>
      <x/>
      <x/>
      <x v="7"/>
    </i>
    <i r="5">
      <x v="268"/>
      <x v="9"/>
      <x/>
      <x/>
      <x v="7"/>
    </i>
    <i r="1">
      <x v="212"/>
      <x v="206"/>
      <x v="17"/>
      <x v="13"/>
      <x v="269"/>
      <x v="38"/>
      <x/>
      <x/>
      <x v="9"/>
    </i>
    <i r="5">
      <x v="270"/>
      <x v="38"/>
      <x/>
      <x/>
      <x v="9"/>
    </i>
    <i r="1">
      <x v="213"/>
      <x v="207"/>
      <x v="17"/>
      <x v="13"/>
      <x v="271"/>
      <x v="25"/>
      <x/>
      <x/>
      <x v="7"/>
    </i>
    <i r="5">
      <x v="272"/>
      <x v="25"/>
      <x/>
      <x/>
      <x v="7"/>
    </i>
    <i r="1">
      <x v="214"/>
      <x v="208"/>
      <x v="17"/>
      <x v="13"/>
      <x v="263"/>
      <x v="25"/>
      <x/>
      <x/>
      <x v="7"/>
    </i>
    <i r="5">
      <x v="264"/>
      <x v="25"/>
      <x/>
      <x/>
      <x v="7"/>
    </i>
    <i>
      <x v="13"/>
      <x v="9"/>
      <x v="152"/>
      <x v="16"/>
      <x v="14"/>
      <x v="247"/>
      <x v="7"/>
      <x v="65"/>
      <x v="48"/>
      <x v="3"/>
    </i>
    <i r="1">
      <x v="10"/>
      <x v="153"/>
      <x v="16"/>
      <x v="15"/>
      <x v="273"/>
      <x v="7"/>
      <x v="65"/>
      <x v="48"/>
      <x v="3"/>
    </i>
    <i r="1">
      <x v="11"/>
      <x v="154"/>
      <x v="16"/>
      <x v="15"/>
      <x v="274"/>
      <x v="7"/>
      <x v="65"/>
      <x v="48"/>
      <x v="3"/>
    </i>
    <i>
      <x v="14"/>
      <x v="215"/>
      <x v="209"/>
      <x v="18"/>
      <x v="15"/>
      <x v="25"/>
      <x v="25"/>
      <x/>
      <x/>
      <x v="7"/>
    </i>
    <i>
      <x v="15"/>
      <x v="221"/>
      <x v="216"/>
      <x v="16"/>
      <x v="13"/>
      <x v="278"/>
      <x v="19"/>
      <x/>
      <x/>
      <x v="8"/>
    </i>
    <i r="1">
      <x v="222"/>
      <x v="217"/>
      <x v="16"/>
      <x v="13"/>
      <x v="279"/>
      <x v="19"/>
      <x/>
      <x/>
      <x v="8"/>
    </i>
    <i>
      <x v="16"/>
      <x v="223"/>
      <x v="218"/>
      <x v="16"/>
      <x v="13"/>
      <x v="280"/>
      <x v="39"/>
      <x/>
      <x/>
      <x v="4"/>
    </i>
    <i t="grand">
      <x/>
    </i>
  </rowItems>
  <colItems count="1">
    <i/>
  </colItems>
  <formats count="21">
    <format dxfId="20">
      <pivotArea field="0" type="button" dataOnly="0" labelOnly="1" outline="0" axis="axisRow" fieldPosition="0"/>
    </format>
    <format dxfId="19">
      <pivotArea field="1" type="button" dataOnly="0" labelOnly="1" outline="0" axis="axisRow" fieldPosition="1"/>
    </format>
    <format dxfId="18">
      <pivotArea field="2" type="button" dataOnly="0" labelOnly="1" outline="0" axis="axisRow" fieldPosition="2"/>
    </format>
    <format dxfId="17">
      <pivotArea field="6" type="button" dataOnly="0" labelOnly="1" outline="0" axis="axisRow" fieldPosition="3"/>
    </format>
    <format dxfId="16">
      <pivotArea field="7" type="button" dataOnly="0" labelOnly="1" outline="0" axis="axisRow" fieldPosition="4"/>
    </format>
    <format dxfId="15">
      <pivotArea field="9" type="button" dataOnly="0" labelOnly="1" outline="0" axis="axisRow" fieldPosition="5"/>
    </format>
    <format dxfId="14">
      <pivotArea field="5" type="button" dataOnly="0" labelOnly="1" outline="0" axis="axisRow" fieldPosition="6"/>
    </format>
    <format dxfId="13">
      <pivotArea field="4" type="button" dataOnly="0" labelOnly="1" outline="0" axis="axisRow" fieldPosition="7"/>
    </format>
    <format dxfId="12">
      <pivotArea field="3" type="button" dataOnly="0" labelOnly="1" outline="0" axis="axisRow" fieldPosition="8"/>
    </format>
    <format dxfId="11">
      <pivotArea field="8" type="button" dataOnly="0" labelOnly="1" outline="0" axis="axisRow" fieldPosition="9"/>
    </format>
    <format dxfId="10">
      <pivotArea field="0" type="button" dataOnly="0" labelOnly="1" outline="0" axis="axisRow" fieldPosition="0"/>
    </format>
    <format dxfId="9">
      <pivotArea field="1" type="button" dataOnly="0" labelOnly="1" outline="0" axis="axisRow" fieldPosition="1"/>
    </format>
    <format dxfId="8">
      <pivotArea field="2" type="button" dataOnly="0" labelOnly="1" outline="0" axis="axisRow" fieldPosition="2"/>
    </format>
    <format dxfId="7">
      <pivotArea field="6" type="button" dataOnly="0" labelOnly="1" outline="0" axis="axisRow" fieldPosition="3"/>
    </format>
    <format dxfId="6">
      <pivotArea field="7" type="button" dataOnly="0" labelOnly="1" outline="0" axis="axisRow" fieldPosition="4"/>
    </format>
    <format dxfId="5">
      <pivotArea field="9" type="button" dataOnly="0" labelOnly="1" outline="0" axis="axisRow" fieldPosition="5"/>
    </format>
    <format dxfId="4">
      <pivotArea field="5" type="button" dataOnly="0" labelOnly="1" outline="0" axis="axisRow" fieldPosition="6"/>
    </format>
    <format dxfId="3">
      <pivotArea field="4" type="button" dataOnly="0" labelOnly="1" outline="0" axis="axisRow" fieldPosition="7"/>
    </format>
    <format dxfId="2">
      <pivotArea field="3" type="button" dataOnly="0" labelOnly="1" outline="0" axis="axisRow" fieldPosition="8"/>
    </format>
    <format dxfId="1">
      <pivotArea field="8" type="button" dataOnly="0" labelOnly="1" outline="0" axis="axisRow" fieldPosition="9"/>
    </format>
    <format dxfId="0">
      <pivotArea field="0" type="button" dataOnly="0" labelOnly="1" outline="0" axis="axisRow" fieldPosition="0"/>
    </format>
  </formats>
  <pivotTableStyleInfo name="PivotStyleDark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fieldListSortAscending="1">
  <location ref="A1:A11" firstHeaderRow="1" firstDataRow="1" firstDataCol="1"/>
  <pivotFields count="15">
    <pivotField axis="axisRow" outline="0" showAll="0" defaultSubtotal="0">
      <items count="9">
        <item x="2"/>
        <item x="3"/>
        <item x="6"/>
        <item x="5"/>
        <item x="0"/>
        <item x="7"/>
        <item x="8"/>
        <item x="1"/>
        <item x="4"/>
      </items>
      <extLst>
        <ext xmlns:x14="http://schemas.microsoft.com/office/spreadsheetml/2009/9/main" uri="{2946ED86-A175-432a-8AC1-64E0C546D7DE}">
          <x14:pivotField fillDownLabels="1"/>
        </ext>
      </extLst>
    </pivotField>
    <pivotField outline="0" showAll="0" defaultSubtotal="0"/>
    <pivotField outline="0" showAll="0" defaultSubtotal="0"/>
    <pivotField outline="0" showAll="0" defaultSubtotal="0"/>
    <pivotField outline="0" showAll="0" defaultSubtotal="0"/>
    <pivotField outline="0" showAll="0" defaultSubtotal="0"/>
    <pivotField outline="0" showAll="0" defaultSubtotal="0"/>
    <pivotField outline="0" showAll="0" defaultSubtotal="0"/>
    <pivotField outline="0" showAll="0" defaultSubtotal="0"/>
    <pivotField showAll="0"/>
    <pivotField showAll="0"/>
    <pivotField showAll="0"/>
    <pivotField outline="0" showAll="0" defaultSubtotal="0"/>
    <pivotField showAll="0"/>
    <pivotField showAll="0"/>
  </pivotFields>
  <rowFields count="1">
    <field x="0"/>
  </rowFields>
  <rowItems count="10">
    <i>
      <x/>
    </i>
    <i>
      <x v="1"/>
    </i>
    <i>
      <x v="2"/>
    </i>
    <i>
      <x v="3"/>
    </i>
    <i>
      <x v="4"/>
    </i>
    <i>
      <x v="5"/>
    </i>
    <i>
      <x v="6"/>
    </i>
    <i>
      <x v="7"/>
    </i>
    <i>
      <x v="8"/>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_No_" xr10:uid="{05D29B2F-B298-48EA-BF2E-1575756EC349}" sourceName="Vendor No_">
  <pivotTables>
    <pivotTable tabId="9" name="PivotTable3"/>
  </pivotTables>
  <data>
    <tabular pivotCacheId="1471445197">
      <items count="17">
        <i x="0" s="1"/>
        <i x="1" s="1"/>
        <i x="2" s="1"/>
        <i x="3" s="1"/>
        <i x="4" s="1"/>
        <i x="5" s="1"/>
        <i x="6" s="1"/>
        <i x="7" s="1"/>
        <i x="8" s="1"/>
        <i x="9" s="1"/>
        <i x="10" s="1"/>
        <i x="11" s="1" nd="1"/>
        <i x="13" s="1" nd="1"/>
        <i x="12" s="1" nd="1"/>
        <i x="16" s="1" nd="1"/>
        <i x="15" s="1" nd="1"/>
        <i x="1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ndor No_" xr10:uid="{E61A8D7F-158D-42CE-8DE2-751C9FCB54B5}" cache="Slicer_Vendor_No_" caption="FILTER BY SUPPLIER" columnCount="2" style="SlicerStyleOther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tarting_Date" xr10:uid="{440EC524-8FD0-49A2-9EA2-FB181332FE88}" sourceName="Starting Date">
  <pivotTables>
    <pivotTable tabId="9" name="PivotTable3"/>
  </pivotTables>
  <state minimalRefreshVersion="6" lastRefreshVersion="6" pivotCacheId="1471445197"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tarting Date" xr10:uid="{1B8C38CC-2053-4D85-8E78-2C74C7BFB8A2}" cache="NativeTimeline_Starting_Date" caption="Starting Date" level="1" selectionLevel="2" scrollPosition="2024-01-01T00:00:00" style="TimeSlicerStyleDark3"/>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tint="0.499984740745262"/>
    <pageSetUpPr fitToPage="1"/>
  </sheetPr>
  <dimension ref="A1:W59"/>
  <sheetViews>
    <sheetView tabSelected="1" zoomScale="89" zoomScaleNormal="89" workbookViewId="0">
      <selection activeCell="C2" sqref="C2"/>
    </sheetView>
  </sheetViews>
  <sheetFormatPr defaultRowHeight="15" x14ac:dyDescent="0.25"/>
  <cols>
    <col min="1" max="1" width="7.140625" customWidth="1"/>
    <col min="2" max="2" width="21.42578125" customWidth="1"/>
    <col min="3" max="3" width="28.5703125" customWidth="1"/>
    <col min="4" max="4" width="23.140625" customWidth="1"/>
    <col min="5" max="5" width="22.28515625" customWidth="1"/>
    <col min="6" max="6" width="20.140625" customWidth="1"/>
    <col min="7" max="7" width="14.28515625" customWidth="1"/>
    <col min="8" max="8" width="17.140625" customWidth="1"/>
    <col min="9" max="9" width="16.5703125" customWidth="1"/>
    <col min="10" max="11" width="17.140625" customWidth="1"/>
    <col min="12" max="13" width="12.85546875" customWidth="1"/>
    <col min="14" max="14" width="15.7109375" customWidth="1"/>
    <col min="15" max="15" width="17.140625" customWidth="1"/>
    <col min="16" max="16" width="10.7109375" customWidth="1"/>
    <col min="18" max="18" width="10.7109375" customWidth="1"/>
    <col min="19" max="19" width="7.140625" customWidth="1"/>
  </cols>
  <sheetData>
    <row r="1" spans="1:23" ht="37.5" customHeight="1" thickBot="1" x14ac:dyDescent="0.3">
      <c r="A1" s="93"/>
      <c r="B1" s="94"/>
      <c r="C1" s="94"/>
      <c r="D1" s="94"/>
      <c r="E1" s="94"/>
      <c r="F1" s="94"/>
      <c r="G1" s="94"/>
      <c r="H1" s="94"/>
      <c r="I1" s="94"/>
      <c r="J1" s="94"/>
      <c r="K1" s="94"/>
      <c r="L1" s="94"/>
      <c r="M1" s="94"/>
      <c r="N1" s="94"/>
      <c r="O1" s="94"/>
      <c r="P1" s="94"/>
      <c r="Q1" s="94"/>
      <c r="R1" s="94"/>
      <c r="S1" s="95"/>
    </row>
    <row r="2" spans="1:23" ht="23.25" x14ac:dyDescent="0.35">
      <c r="A2" s="96"/>
      <c r="B2" s="20"/>
      <c r="C2" s="21"/>
      <c r="D2" s="21"/>
      <c r="E2" s="21"/>
      <c r="F2" s="21"/>
      <c r="G2" s="21"/>
      <c r="H2" s="21"/>
      <c r="I2" s="22"/>
      <c r="J2" s="23"/>
      <c r="K2" s="23"/>
      <c r="L2" s="23"/>
      <c r="M2" s="23"/>
      <c r="N2" s="21"/>
      <c r="O2" s="21"/>
      <c r="P2" s="21"/>
      <c r="Q2" s="21"/>
      <c r="R2" s="24"/>
      <c r="S2" s="100"/>
    </row>
    <row r="3" spans="1:23" ht="24" thickBot="1" x14ac:dyDescent="0.4">
      <c r="A3" s="96"/>
      <c r="B3" s="25"/>
      <c r="C3" s="57"/>
      <c r="D3" s="57"/>
      <c r="E3" s="57"/>
      <c r="F3" s="57"/>
      <c r="G3" s="57"/>
      <c r="H3" s="57"/>
      <c r="I3" s="80"/>
      <c r="J3" s="81"/>
      <c r="K3" s="81"/>
      <c r="L3" s="81"/>
      <c r="M3" s="81"/>
      <c r="N3" s="57"/>
      <c r="O3" s="57"/>
      <c r="P3" s="57"/>
      <c r="Q3" s="57"/>
      <c r="R3" s="26"/>
      <c r="S3" s="100"/>
    </row>
    <row r="4" spans="1:23" ht="24" thickBot="1" x14ac:dyDescent="0.4">
      <c r="A4" s="96"/>
      <c r="B4" s="27"/>
      <c r="C4" s="108" t="s">
        <v>75</v>
      </c>
      <c r="D4" s="57"/>
      <c r="E4" s="57"/>
      <c r="F4" s="57"/>
      <c r="G4" s="57"/>
      <c r="H4" s="57"/>
      <c r="I4" s="219" t="s">
        <v>73</v>
      </c>
      <c r="J4" s="18"/>
      <c r="K4" s="18"/>
      <c r="L4" s="18"/>
      <c r="M4" s="18"/>
      <c r="N4" s="19"/>
      <c r="O4" s="57"/>
      <c r="P4" s="57"/>
      <c r="Q4" s="57"/>
      <c r="R4" s="26"/>
      <c r="S4" s="100"/>
    </row>
    <row r="5" spans="1:23" ht="15" customHeight="1" x14ac:dyDescent="0.25">
      <c r="A5" s="96"/>
      <c r="B5" s="9"/>
      <c r="C5" s="57"/>
      <c r="D5" s="57"/>
      <c r="E5" s="57"/>
      <c r="F5" s="57"/>
      <c r="G5" s="82"/>
      <c r="H5" s="82"/>
      <c r="I5" s="393" t="s">
        <v>74</v>
      </c>
      <c r="J5" s="394"/>
      <c r="K5" s="394"/>
      <c r="L5" s="394"/>
      <c r="M5" s="394"/>
      <c r="N5" s="395"/>
      <c r="O5" s="57"/>
      <c r="P5" s="57"/>
      <c r="Q5" s="57"/>
      <c r="R5" s="26"/>
      <c r="S5" s="100"/>
    </row>
    <row r="6" spans="1:23" ht="18.75" x14ac:dyDescent="0.3">
      <c r="A6" s="96"/>
      <c r="B6" s="401" t="s">
        <v>50</v>
      </c>
      <c r="C6" s="400"/>
      <c r="D6" s="79"/>
      <c r="E6" s="399" t="s">
        <v>9</v>
      </c>
      <c r="F6" s="400"/>
      <c r="G6" s="83"/>
      <c r="H6" s="82"/>
      <c r="I6" s="393"/>
      <c r="J6" s="394"/>
      <c r="K6" s="394"/>
      <c r="L6" s="394"/>
      <c r="M6" s="394"/>
      <c r="N6" s="395"/>
      <c r="O6" s="57"/>
      <c r="P6" s="57"/>
      <c r="Q6" s="57"/>
      <c r="R6" s="26"/>
      <c r="S6" s="100"/>
    </row>
    <row r="7" spans="1:23" ht="18.75" x14ac:dyDescent="0.3">
      <c r="A7" s="96"/>
      <c r="B7" s="38" t="s">
        <v>26</v>
      </c>
      <c r="C7" s="55"/>
      <c r="D7" s="79"/>
      <c r="E7" s="37" t="s">
        <v>10</v>
      </c>
      <c r="F7" s="36"/>
      <c r="G7" s="83"/>
      <c r="H7" s="84" t="str">
        <f>CONCATENATE(C9,F7)</f>
        <v/>
      </c>
      <c r="I7" s="393"/>
      <c r="J7" s="394"/>
      <c r="K7" s="394"/>
      <c r="L7" s="394"/>
      <c r="M7" s="394"/>
      <c r="N7" s="395"/>
      <c r="O7" s="57"/>
      <c r="P7" s="57"/>
      <c r="Q7" s="57"/>
      <c r="R7" s="26"/>
      <c r="S7" s="100"/>
    </row>
    <row r="8" spans="1:23" ht="37.5" customHeight="1" x14ac:dyDescent="0.3">
      <c r="A8" s="96"/>
      <c r="B8" s="48" t="s">
        <v>0</v>
      </c>
      <c r="C8" s="229" cm="1">
        <f t="array" ref="C8">_xlfn.IFNA(_xlfn.XLOOKUP(C12&amp;C7,DataFeed!A2:A246&amp;DataFeed!B2:B246,DataFeed!C2:C246)," ")</f>
        <v>0</v>
      </c>
      <c r="D8" s="79"/>
      <c r="E8" s="47" t="s">
        <v>16</v>
      </c>
      <c r="F8" s="53"/>
      <c r="G8" s="83"/>
      <c r="H8" s="82"/>
      <c r="I8" s="393" t="s">
        <v>286</v>
      </c>
      <c r="J8" s="394"/>
      <c r="K8" s="394"/>
      <c r="L8" s="394"/>
      <c r="M8" s="394"/>
      <c r="N8" s="395"/>
      <c r="O8" s="57"/>
      <c r="P8" s="57"/>
      <c r="Q8" s="57"/>
      <c r="R8" s="26"/>
      <c r="S8" s="100"/>
    </row>
    <row r="9" spans="1:23" ht="18.75" customHeight="1" x14ac:dyDescent="0.3">
      <c r="A9" s="96"/>
      <c r="B9" s="38" t="s">
        <v>1</v>
      </c>
      <c r="C9" s="55"/>
      <c r="D9" s="79"/>
      <c r="E9" s="37" t="s">
        <v>17</v>
      </c>
      <c r="F9" s="55"/>
      <c r="G9" s="83"/>
      <c r="H9" s="82"/>
      <c r="I9" s="393"/>
      <c r="J9" s="394"/>
      <c r="K9" s="394"/>
      <c r="L9" s="394"/>
      <c r="M9" s="394"/>
      <c r="N9" s="395"/>
      <c r="O9" s="57"/>
      <c r="P9" s="57"/>
      <c r="Q9" s="57"/>
      <c r="R9" s="26"/>
      <c r="S9" s="100"/>
    </row>
    <row r="10" spans="1:23" ht="19.5" thickBot="1" x14ac:dyDescent="0.35">
      <c r="A10" s="96"/>
      <c r="B10" s="48" t="s">
        <v>51</v>
      </c>
      <c r="C10" s="53" cm="1">
        <f t="array" ref="C10">_xlfn.IFNA(_xlfn.XLOOKUP(C12&amp;C7,DataFeed!A2:A246&amp;DataFeed!B2:B246,DataFeed!J2:J246)," ")</f>
        <v>0</v>
      </c>
      <c r="D10" s="79"/>
      <c r="E10" s="47" t="s">
        <v>100</v>
      </c>
      <c r="F10" s="431">
        <f>IFERROR(C11*J17,"")</f>
        <v>0</v>
      </c>
      <c r="G10" s="83"/>
      <c r="H10" s="82"/>
      <c r="I10" s="396"/>
      <c r="J10" s="397"/>
      <c r="K10" s="397"/>
      <c r="L10" s="397"/>
      <c r="M10" s="397"/>
      <c r="N10" s="398"/>
      <c r="O10" s="57"/>
      <c r="P10" s="57"/>
      <c r="Q10" s="57"/>
      <c r="R10" s="26"/>
      <c r="S10" s="100"/>
    </row>
    <row r="11" spans="1:23" ht="18.75" x14ac:dyDescent="0.3">
      <c r="A11" s="96"/>
      <c r="B11" s="46" t="s">
        <v>71</v>
      </c>
      <c r="C11" s="56" cm="1">
        <f t="array" ref="C11">_xlfn.IFNA(_xlfn.XLOOKUP(C12&amp;C7,DataFeed!A2:A246&amp;DataFeed!B2:B246,DataFeed!G2:G246)," ")</f>
        <v>0</v>
      </c>
      <c r="D11" s="79"/>
      <c r="E11" s="286" t="s">
        <v>322</v>
      </c>
      <c r="F11" s="282">
        <f>IF(C9="Bao Bun", 17, 0)</f>
        <v>0</v>
      </c>
      <c r="G11" s="83"/>
      <c r="H11" s="82"/>
      <c r="I11" s="57"/>
      <c r="J11" s="57"/>
      <c r="K11" s="57"/>
      <c r="L11" s="57"/>
      <c r="M11" s="57"/>
      <c r="N11" s="57"/>
      <c r="O11" s="57"/>
      <c r="P11" s="57"/>
      <c r="Q11" s="57"/>
      <c r="R11" s="26"/>
      <c r="S11" s="100"/>
    </row>
    <row r="12" spans="1:23" ht="18.75" x14ac:dyDescent="0.3">
      <c r="A12" s="96"/>
      <c r="B12" s="91" t="s">
        <v>108</v>
      </c>
      <c r="C12" s="92"/>
      <c r="D12" s="79"/>
      <c r="E12" s="433" t="s">
        <v>529</v>
      </c>
      <c r="F12" s="432" t="str">
        <f>IFERROR(C26*0.25%,"")</f>
        <v/>
      </c>
      <c r="G12" s="83"/>
      <c r="H12" s="82"/>
      <c r="I12" s="57"/>
      <c r="J12" s="57"/>
      <c r="K12" s="57"/>
      <c r="L12" s="57"/>
      <c r="M12" s="57"/>
      <c r="N12" s="57"/>
      <c r="O12" s="57"/>
      <c r="P12" s="57"/>
      <c r="Q12" s="57"/>
      <c r="R12" s="26"/>
      <c r="S12" s="100"/>
    </row>
    <row r="13" spans="1:23" ht="18.75" x14ac:dyDescent="0.3">
      <c r="A13" s="96"/>
      <c r="B13" s="38" t="s">
        <v>93</v>
      </c>
      <c r="C13" s="54" cm="1">
        <f t="array" ref="C13">_xlfn.IFNA(_xlfn.XLOOKUP(C12&amp;C7,DataFeed!A2:A246&amp;DataFeed!B2:B246,DataFeed!F2:F246)," ")</f>
        <v>0</v>
      </c>
      <c r="D13" s="79"/>
      <c r="E13" s="79"/>
      <c r="F13" s="79"/>
      <c r="G13" s="83"/>
      <c r="H13" s="82"/>
      <c r="I13" s="57"/>
      <c r="J13" s="57"/>
      <c r="K13" s="57"/>
      <c r="L13" s="57"/>
      <c r="M13" s="57"/>
      <c r="N13" s="57"/>
      <c r="O13" s="57"/>
      <c r="P13" s="57"/>
      <c r="Q13" s="57"/>
      <c r="R13" s="26"/>
      <c r="S13" s="100"/>
    </row>
    <row r="14" spans="1:23" ht="15.75" thickBot="1" x14ac:dyDescent="0.3">
      <c r="A14" s="96"/>
      <c r="B14" s="9"/>
      <c r="C14" s="57"/>
      <c r="D14" s="57"/>
      <c r="E14" s="57"/>
      <c r="F14" s="57"/>
      <c r="G14" s="82"/>
      <c r="H14" s="82"/>
      <c r="I14" s="57"/>
      <c r="J14" s="57"/>
      <c r="K14" s="57"/>
      <c r="L14" s="57"/>
      <c r="M14" s="57"/>
      <c r="N14" s="57"/>
      <c r="O14" s="57"/>
      <c r="P14" s="57"/>
      <c r="Q14" s="57"/>
      <c r="R14" s="26"/>
      <c r="S14" s="100"/>
    </row>
    <row r="15" spans="1:23" ht="21.75" customHeight="1" x14ac:dyDescent="0.25">
      <c r="A15" s="96"/>
      <c r="B15" s="9"/>
      <c r="C15" s="390" t="s">
        <v>77</v>
      </c>
      <c r="D15" s="391"/>
      <c r="E15" s="391"/>
      <c r="F15" s="391"/>
      <c r="G15" s="392"/>
      <c r="H15" s="57"/>
      <c r="I15" s="57"/>
      <c r="J15" s="57"/>
      <c r="K15" s="57"/>
      <c r="L15" s="57"/>
      <c r="M15" s="57"/>
      <c r="N15" s="57"/>
      <c r="O15" s="57"/>
      <c r="P15" s="57"/>
      <c r="Q15" s="57"/>
      <c r="R15" s="26"/>
      <c r="S15" s="100"/>
    </row>
    <row r="16" spans="1:23" s="1" customFormat="1" ht="48" customHeight="1" x14ac:dyDescent="0.25">
      <c r="A16" s="97"/>
      <c r="B16" s="28" t="s">
        <v>52</v>
      </c>
      <c r="C16" s="3" t="s">
        <v>78</v>
      </c>
      <c r="D16" s="4" t="s">
        <v>83</v>
      </c>
      <c r="E16" s="4" t="s">
        <v>84</v>
      </c>
      <c r="F16" s="63" t="s">
        <v>101</v>
      </c>
      <c r="G16" s="5" t="s">
        <v>95</v>
      </c>
      <c r="H16" s="6" t="s">
        <v>65</v>
      </c>
      <c r="I16" s="4" t="s">
        <v>22</v>
      </c>
      <c r="J16" s="4" t="s">
        <v>280</v>
      </c>
      <c r="K16" s="4" t="s">
        <v>319</v>
      </c>
      <c r="L16" s="4" t="s">
        <v>18</v>
      </c>
      <c r="M16" s="4" t="s">
        <v>64</v>
      </c>
      <c r="N16" s="4" t="s">
        <v>53</v>
      </c>
      <c r="O16" s="4" t="s">
        <v>40</v>
      </c>
      <c r="P16" s="4" t="s">
        <v>33</v>
      </c>
      <c r="Q16" s="4" t="s">
        <v>55</v>
      </c>
      <c r="R16" s="106" t="s">
        <v>54</v>
      </c>
      <c r="S16" s="101"/>
      <c r="T16" s="2"/>
      <c r="U16" s="2"/>
      <c r="V16" s="2"/>
      <c r="W16" s="2"/>
    </row>
    <row r="17" spans="1:19" s="1" customFormat="1" ht="19.5" customHeight="1" x14ac:dyDescent="0.25">
      <c r="A17" s="97"/>
      <c r="B17" s="172">
        <v>1</v>
      </c>
      <c r="C17" s="39"/>
      <c r="D17" s="45"/>
      <c r="E17" s="45"/>
      <c r="F17" s="205" t="str">
        <f>IFERROR(E17/$C$10,"")</f>
        <v/>
      </c>
      <c r="G17" s="206" t="str">
        <f>IFERROR(E17/$C$11,"")</f>
        <v/>
      </c>
      <c r="H17" s="207">
        <f>C13</f>
        <v>0</v>
      </c>
      <c r="I17" s="434"/>
      <c r="J17" s="208" cm="1">
        <f t="array" ref="J17">_xlfn.IFNA(_xlfn.XLOOKUP(C12&amp;C7,DataFeed!A2:A246&amp;DataFeed!B2:B246,DataFeed!I2:I246)," ")</f>
        <v>0</v>
      </c>
      <c r="K17" s="283">
        <f>(F11/1000)</f>
        <v>0</v>
      </c>
      <c r="L17" s="37"/>
      <c r="M17" s="375"/>
      <c r="N17" s="37"/>
      <c r="O17" s="37"/>
      <c r="P17" s="40"/>
      <c r="Q17" s="40">
        <v>0.4</v>
      </c>
      <c r="R17" s="107">
        <f>IF(C17="GBP",E17,IF(C17="Euro",E17/D17,0))</f>
        <v>0</v>
      </c>
      <c r="S17" s="102"/>
    </row>
    <row r="18" spans="1:19" s="1" customFormat="1" ht="19.5" customHeight="1" x14ac:dyDescent="0.25">
      <c r="A18" s="97"/>
      <c r="B18" s="172">
        <v>2</v>
      </c>
      <c r="C18" s="39"/>
      <c r="D18" s="45"/>
      <c r="E18" s="45"/>
      <c r="F18" s="205" t="str">
        <f>IFERROR(E18/$C$10,"")</f>
        <v/>
      </c>
      <c r="G18" s="206" t="str">
        <f t="shared" ref="G18:G21" si="0">IFERROR(E18/$C$11,"")</f>
        <v/>
      </c>
      <c r="H18" s="207">
        <f>C13</f>
        <v>0</v>
      </c>
      <c r="I18" s="434"/>
      <c r="J18" s="208" cm="1">
        <f t="array" ref="J18">_xlfn.IFNA(_xlfn.XLOOKUP(C12&amp;C7,DataFeed!A2:A246&amp;DataFeed!B2:B246,DataFeed!I2:I246)," ")</f>
        <v>0</v>
      </c>
      <c r="K18" s="283">
        <f>(F11/1000)</f>
        <v>0</v>
      </c>
      <c r="L18" s="37"/>
      <c r="M18" s="375"/>
      <c r="N18" s="37"/>
      <c r="O18" s="37"/>
      <c r="P18" s="40"/>
      <c r="Q18" s="40">
        <v>0.4</v>
      </c>
      <c r="R18" s="107">
        <f>IF(C18="GBP",E18,IF(C18="Euro",E18/D18,0))</f>
        <v>0</v>
      </c>
      <c r="S18" s="102"/>
    </row>
    <row r="19" spans="1:19" s="1" customFormat="1" ht="19.5" customHeight="1" x14ac:dyDescent="0.25">
      <c r="A19" s="97"/>
      <c r="B19" s="172">
        <v>3</v>
      </c>
      <c r="C19" s="39"/>
      <c r="D19" s="45"/>
      <c r="E19" s="45"/>
      <c r="F19" s="205" t="str">
        <f>IFERROR(E19/$C$10,"")</f>
        <v/>
      </c>
      <c r="G19" s="206" t="str">
        <f t="shared" si="0"/>
        <v/>
      </c>
      <c r="H19" s="207">
        <f>C13</f>
        <v>0</v>
      </c>
      <c r="I19" s="434"/>
      <c r="J19" s="208" cm="1">
        <f t="array" ref="J19">_xlfn.IFNA(_xlfn.XLOOKUP(C12&amp;C7,DataFeed!A2:A246&amp;DataFeed!B2:B246,DataFeed!I2:I246)," ")</f>
        <v>0</v>
      </c>
      <c r="K19" s="283">
        <f>(F11/1000)</f>
        <v>0</v>
      </c>
      <c r="L19" s="37"/>
      <c r="M19" s="375"/>
      <c r="N19" s="37"/>
      <c r="O19" s="37"/>
      <c r="P19" s="40"/>
      <c r="Q19" s="40">
        <v>0.4</v>
      </c>
      <c r="R19" s="107">
        <f>IF(C19="GBP",E19,IF(C19="Euro",E19/D19,0))</f>
        <v>0</v>
      </c>
      <c r="S19" s="102"/>
    </row>
    <row r="20" spans="1:19" s="1" customFormat="1" ht="19.5" customHeight="1" x14ac:dyDescent="0.25">
      <c r="A20" s="97"/>
      <c r="B20" s="172">
        <v>4</v>
      </c>
      <c r="C20" s="39"/>
      <c r="D20" s="45"/>
      <c r="E20" s="45"/>
      <c r="F20" s="205" t="str">
        <f>IFERROR(E20/$C$10,"")</f>
        <v/>
      </c>
      <c r="G20" s="206" t="str">
        <f t="shared" si="0"/>
        <v/>
      </c>
      <c r="H20" s="207">
        <f>C13</f>
        <v>0</v>
      </c>
      <c r="I20" s="434"/>
      <c r="J20" s="208" cm="1">
        <f t="array" ref="J20">_xlfn.IFNA(_xlfn.XLOOKUP(C12&amp;C7,DataFeed!A2:A246&amp;DataFeed!B2:B246,DataFeed!I2:I246)," ")</f>
        <v>0</v>
      </c>
      <c r="K20" s="283">
        <f>(F11/1000)</f>
        <v>0</v>
      </c>
      <c r="L20" s="37"/>
      <c r="M20" s="375"/>
      <c r="N20" s="37"/>
      <c r="O20" s="37"/>
      <c r="P20" s="40"/>
      <c r="Q20" s="40">
        <v>0.4</v>
      </c>
      <c r="R20" s="107">
        <f>IF(C20="GBP",E20,IF(C20="Euro",E20/D20,0))</f>
        <v>0</v>
      </c>
      <c r="S20" s="102"/>
    </row>
    <row r="21" spans="1:19" s="1" customFormat="1" ht="19.5" customHeight="1" thickBot="1" x14ac:dyDescent="0.3">
      <c r="A21" s="97"/>
      <c r="B21" s="172">
        <v>5</v>
      </c>
      <c r="C21" s="345"/>
      <c r="D21" s="346"/>
      <c r="E21" s="346"/>
      <c r="F21" s="347" t="str">
        <f>IFERROR(E21/$C$10,"")</f>
        <v/>
      </c>
      <c r="G21" s="348" t="str">
        <f t="shared" si="0"/>
        <v/>
      </c>
      <c r="H21" s="207">
        <f>C13</f>
        <v>0</v>
      </c>
      <c r="I21" s="434"/>
      <c r="J21" s="208" cm="1">
        <f t="array" ref="J21">_xlfn.IFNA(_xlfn.XLOOKUP(C12&amp;C7,DataFeed!A2:A246&amp;DataFeed!B2:B246,DataFeed!I2:I246)," ")</f>
        <v>0</v>
      </c>
      <c r="K21" s="283">
        <f>(F11/1000)</f>
        <v>0</v>
      </c>
      <c r="L21" s="37"/>
      <c r="M21" s="375"/>
      <c r="N21" s="37"/>
      <c r="O21" s="37"/>
      <c r="P21" s="40"/>
      <c r="Q21" s="40">
        <v>0.4</v>
      </c>
      <c r="R21" s="107">
        <f>IF(C21="GBP",E21,IF(C21="Euro",E21/D21,0))</f>
        <v>0</v>
      </c>
      <c r="S21" s="102"/>
    </row>
    <row r="22" spans="1:19" s="1" customFormat="1" ht="16.5" thickBot="1" x14ac:dyDescent="0.3">
      <c r="A22" s="97"/>
      <c r="B22" s="31"/>
      <c r="C22" s="79"/>
      <c r="D22" s="79"/>
      <c r="E22" s="79"/>
      <c r="F22" s="79"/>
      <c r="G22" s="79"/>
      <c r="H22" s="79"/>
      <c r="I22" s="79"/>
      <c r="J22" s="79"/>
      <c r="K22" s="79"/>
      <c r="L22" s="79"/>
      <c r="M22" s="79"/>
      <c r="N22" s="79"/>
      <c r="O22" s="79"/>
      <c r="P22" s="79"/>
      <c r="Q22" s="79"/>
      <c r="R22" s="32"/>
      <c r="S22" s="103"/>
    </row>
    <row r="23" spans="1:19" s="1" customFormat="1" ht="24" thickBot="1" x14ac:dyDescent="0.4">
      <c r="A23" s="97"/>
      <c r="B23" s="27"/>
      <c r="C23" s="109" t="s">
        <v>25</v>
      </c>
      <c r="D23" s="79"/>
      <c r="E23" s="79"/>
      <c r="F23" s="79"/>
      <c r="G23" s="79"/>
      <c r="H23" s="79"/>
      <c r="I23" s="79"/>
      <c r="J23" s="79"/>
      <c r="K23" s="79"/>
      <c r="L23" s="79"/>
      <c r="M23" s="79"/>
      <c r="N23" s="79"/>
      <c r="O23" s="79"/>
      <c r="P23" s="79"/>
      <c r="Q23" s="79"/>
      <c r="R23" s="32"/>
      <c r="S23" s="103"/>
    </row>
    <row r="24" spans="1:19" s="1" customFormat="1" ht="15.75" x14ac:dyDescent="0.25">
      <c r="A24" s="97"/>
      <c r="B24" s="31"/>
      <c r="C24" s="79"/>
      <c r="D24" s="79"/>
      <c r="E24" s="79"/>
      <c r="F24" s="79"/>
      <c r="G24" s="79"/>
      <c r="H24" s="79"/>
      <c r="I24" s="79"/>
      <c r="J24" s="79"/>
      <c r="K24" s="79"/>
      <c r="L24" s="79"/>
      <c r="M24" s="79"/>
      <c r="N24" s="79"/>
      <c r="O24" s="79"/>
      <c r="P24" s="79"/>
      <c r="Q24" s="79"/>
      <c r="R24" s="32"/>
      <c r="S24" s="103"/>
    </row>
    <row r="25" spans="1:19" s="1" customFormat="1" ht="48" customHeight="1" x14ac:dyDescent="0.25">
      <c r="A25" s="97"/>
      <c r="B25" s="33" t="s">
        <v>52</v>
      </c>
      <c r="C25" s="7" t="s">
        <v>63</v>
      </c>
      <c r="D25" s="7" t="s">
        <v>30</v>
      </c>
      <c r="E25" s="7" t="s">
        <v>56</v>
      </c>
      <c r="F25" s="7" t="s">
        <v>57</v>
      </c>
      <c r="G25" s="7" t="s">
        <v>31</v>
      </c>
      <c r="H25" s="7" t="s">
        <v>17</v>
      </c>
      <c r="I25" s="7" t="s">
        <v>59</v>
      </c>
      <c r="J25" s="7" t="s">
        <v>58</v>
      </c>
      <c r="K25" s="7" t="s">
        <v>323</v>
      </c>
      <c r="L25" s="7" t="s">
        <v>35</v>
      </c>
      <c r="M25" s="7" t="s">
        <v>61</v>
      </c>
      <c r="N25" s="7" t="s">
        <v>62</v>
      </c>
      <c r="O25" s="7" t="s">
        <v>60</v>
      </c>
      <c r="P25" s="79"/>
      <c r="Q25" s="79"/>
      <c r="R25" s="32"/>
      <c r="S25" s="103"/>
    </row>
    <row r="26" spans="1:19" s="1" customFormat="1" ht="15.75" x14ac:dyDescent="0.25">
      <c r="A26" s="97"/>
      <c r="B26" s="41">
        <v>1</v>
      </c>
      <c r="C26" s="42" t="e">
        <f>((H17/1000)*($C$11*J17))/I17</f>
        <v>#DIV/0!</v>
      </c>
      <c r="D26" s="42" t="e">
        <f>IF($F$7="Full Duty",(($C$11*J17)/1000)*(VLOOKUP($H$7,Workings!$F$2:$I$17,4,FALSE)),((C26*0.06%)+(C26+E26))*(VLOOKUP($H$7,Workings!$F$2:$I$17,4,FALSE)))</f>
        <v>#DIV/0!</v>
      </c>
      <c r="E26" s="42">
        <f>IF($L$17="FOB",M17/I17,0)</f>
        <v>0</v>
      </c>
      <c r="F26" s="42">
        <f>(P17)+(_xlfn.IFNA(VLOOKUP(N17,Workings!$N$2:$O$7,2,FALSE),0)+(((($C$11*J17)+(($C$10*J17)*0.5))/1000)*10.29)+(IF(OR(N17="AGT",N17="Seafrigo",N17="FAR LOGISTICS",N17="EWL"),(VLOOKUP(O17,Workings!$B$12:$E$22,4,FALSE)))))</f>
        <v>0</v>
      </c>
      <c r="G26" s="42">
        <f>IF(AND($F$7="Licence",$C$9&lt;&gt;"veg",$C$9&lt;&gt;"Spring Roll &amp; Samosa",$C$9&lt;&gt;"Onion Bhajis"),Q17*(J17*$C$11),0)</f>
        <v>0</v>
      </c>
      <c r="H26" s="42">
        <f>IF(J17="",0,IF($F$9="Yes",((8.95+1.95+7.95)*35),0))</f>
        <v>0</v>
      </c>
      <c r="I26" s="42">
        <f>IF(J17="",0,IF($F$8="No",(475+150+770),0))</f>
        <v>0</v>
      </c>
      <c r="J26" s="43" t="e">
        <f>IF($F$8="Yes",0,IF($F$7="Full Duty",0,IF($C$9="Veg",0,IF(VLOOKUP($H$7,Workings!$F$2:$I$17,4,FALSE)&lt;=11%,((C26*100.06%)+E26)*(11%-VLOOKUP($H$7,Workings!$F$2:$I$17,4,FALSE))))))</f>
        <v>#N/A</v>
      </c>
      <c r="K26" s="43">
        <f>IF(AND(ISNUMBER(F10), ISNUMBER(F11)), (F10/100)*F11,"")</f>
        <v>0</v>
      </c>
      <c r="L26" s="42" t="e">
        <f>C26+D26+E26+F26+G26+H26+I26+J26+F12</f>
        <v>#DIV/0!</v>
      </c>
      <c r="M26" s="42">
        <f>IFERROR(L26/J17,0)</f>
        <v>0</v>
      </c>
      <c r="N26" s="42">
        <f>IFERROR((L26/(J17*$C$11)),0)</f>
        <v>0</v>
      </c>
      <c r="O26" s="44">
        <f>IFERROR((R17-M26)/R17,0)</f>
        <v>0</v>
      </c>
      <c r="P26" s="79"/>
      <c r="Q26" s="79"/>
      <c r="R26" s="32"/>
      <c r="S26" s="103"/>
    </row>
    <row r="27" spans="1:19" s="1" customFormat="1" ht="15.75" x14ac:dyDescent="0.25">
      <c r="A27" s="97"/>
      <c r="B27" s="49">
        <v>2</v>
      </c>
      <c r="C27" s="50" t="e">
        <f>((H18/1000)*($C$11*J18))/I18</f>
        <v>#DIV/0!</v>
      </c>
      <c r="D27" s="50" t="e">
        <f>IF($F$7="Full Duty",(($C$11*J18)/1000)*(VLOOKUP($H$7,Workings!$F$2:$I$17,4,FALSE)),((C27*0.06%)+(C27+E27))*(VLOOKUP($H$7,Workings!$F$2:$I$17,4,FALSE)))</f>
        <v>#DIV/0!</v>
      </c>
      <c r="E27" s="50">
        <f>IF($L$17="FOB",M18/I18,0)</f>
        <v>0</v>
      </c>
      <c r="F27" s="50">
        <f>(P18)+(_xlfn.IFNA(VLOOKUP(N18,Workings!$N$2:$O$7,2,FALSE),0)+(((($C$11*J18)+(($C$10*J18)*0.5))/1000)*10.29)+(IF(OR(N18="AGT",N18="Seafrigo",N18="FAR LOGISTICS",N18="EWL"),(VLOOKUP(O18,Workings!$B$12:$E$22,4,FALSE)))))</f>
        <v>0</v>
      </c>
      <c r="G27" s="50">
        <f>IF(AND($F$7="Licence",$C$9&lt;&gt;"veg",$C$9&lt;&gt;"Spring Roll &amp; Samosa",$C$9&lt;&gt;"Onion Bhajis"),Q18*(J18*$C$11),0)</f>
        <v>0</v>
      </c>
      <c r="H27" s="50">
        <f>IF(J18="",0,IF($F$9="Yes",((8.95+1.95+7.95)*35),0))</f>
        <v>0</v>
      </c>
      <c r="I27" s="50">
        <f>IF(J18="",0,IF($F$8="No",(475+150+770),0))</f>
        <v>0</v>
      </c>
      <c r="J27" s="51" t="e">
        <f>IF($F$8="Yes",0,IF($F$7="Full Duty",0,IF($C$9="Veg",0,IF(VLOOKUP($H$7,Workings!$F$2:$I$17,4,FALSE)&lt;=11%,((C27*100.06%)+E27)*(11%-VLOOKUP($H$7,Workings!$F$2:$I$17,4,FALSE))))))</f>
        <v>#N/A</v>
      </c>
      <c r="K27" s="51">
        <f>IF(AND(ISNUMBER(F10), ISNUMBER(F11)), (F10/100)*F11,"")</f>
        <v>0</v>
      </c>
      <c r="L27" s="440" t="e">
        <f>C27+D27+E27+F27+G27+H27+I27+J27+F12</f>
        <v>#DIV/0!</v>
      </c>
      <c r="M27" s="50">
        <f>IFERROR(L27/J18,0)</f>
        <v>0</v>
      </c>
      <c r="N27" s="50">
        <f>IFERROR((L27/(J18*$C$11)),0)</f>
        <v>0</v>
      </c>
      <c r="O27" s="52">
        <f>IFERROR((R18-M27)/R18,0)</f>
        <v>0</v>
      </c>
      <c r="P27" s="79"/>
      <c r="Q27" s="79"/>
      <c r="R27" s="32"/>
      <c r="S27" s="103"/>
    </row>
    <row r="28" spans="1:19" s="1" customFormat="1" ht="15.75" x14ac:dyDescent="0.25">
      <c r="A28" s="97"/>
      <c r="B28" s="41">
        <v>3</v>
      </c>
      <c r="C28" s="42" t="e">
        <f>((H19/1000)*($C$11*J19))/I19</f>
        <v>#DIV/0!</v>
      </c>
      <c r="D28" s="42" t="e">
        <f>IF($F$7="Full Duty",(($C$11*J19)/1000)*(VLOOKUP($H$7,Workings!$F$2:$I$17,4,FALSE)),((C28*0.06%)+(C28+E28))*(VLOOKUP($H$7,Workings!$F$2:$I$17,4,FALSE)))</f>
        <v>#DIV/0!</v>
      </c>
      <c r="E28" s="42">
        <f>IF($L$17="FOB",M19/I19,0)</f>
        <v>0</v>
      </c>
      <c r="F28" s="42">
        <f>(P19)+(_xlfn.IFNA(VLOOKUP(N19,Workings!$N$2:$O$7,2,FALSE),0)+(((($C$11*J19)+(($C$10*J19)*0.5))/1000)*10.29)+(IF(OR(N19="AGT",N19="Seafrigo",N19="FAR LOGISTICS",N19="EWL"),(VLOOKUP(O19,Workings!$B$12:$E$22,4,FALSE)))))</f>
        <v>0</v>
      </c>
      <c r="G28" s="42">
        <f>IF(AND($F$7="Licence",$C$9&lt;&gt;"veg",$C$9&lt;&gt;"Spring Roll &amp; Samosa",$C$9&lt;&gt;"Onion Bhajis"),Q19*(J19*$C$11),0)</f>
        <v>0</v>
      </c>
      <c r="H28" s="42">
        <f>IF(J19="",0,IF($F$9="Yes",((8.95+1.95+7.95)*35),0))</f>
        <v>0</v>
      </c>
      <c r="I28" s="42">
        <f>IF(J19="",0,IF($F$8="No",(475+150+770),0))</f>
        <v>0</v>
      </c>
      <c r="J28" s="43" t="e">
        <f>IF($F$8="Yes",0,IF($F$7="Full Duty",0,IF($C$9="Veg",0,IF(VLOOKUP($H$7,Workings!$F$2:$I$17,4,FALSE)&lt;=11%,((C28*100.06%)+E28)*(11%-VLOOKUP($H$7,Workings!$F$2:$I$17,4,FALSE))))))</f>
        <v>#N/A</v>
      </c>
      <c r="K28" s="43">
        <f>IF(AND(ISNUMBER(F10), ISNUMBER(F11)), (F10/100)*F11,"")</f>
        <v>0</v>
      </c>
      <c r="L28" s="441" t="e">
        <f>C28+D28+E28+F28+G28+H28+I28+J28+F12</f>
        <v>#DIV/0!</v>
      </c>
      <c r="M28" s="42">
        <f>IFERROR(L28/J19,0)</f>
        <v>0</v>
      </c>
      <c r="N28" s="42">
        <f>IFERROR((L28/(J19*$C$11)),0)</f>
        <v>0</v>
      </c>
      <c r="O28" s="44">
        <f>IFERROR((R19-M28)/R19,0)</f>
        <v>0</v>
      </c>
      <c r="P28" s="79"/>
      <c r="Q28" s="79"/>
      <c r="R28" s="32"/>
      <c r="S28" s="103"/>
    </row>
    <row r="29" spans="1:19" s="1" customFormat="1" ht="15.75" x14ac:dyDescent="0.25">
      <c r="A29" s="97"/>
      <c r="B29" s="49">
        <v>4</v>
      </c>
      <c r="C29" s="50" t="e">
        <f>((H20/1000)*($C$11*J20))/I20</f>
        <v>#DIV/0!</v>
      </c>
      <c r="D29" s="50" t="e">
        <f>IF($F$7="Full Duty",(($C$11*J20)/1000)*(VLOOKUP($H$7,Workings!$F$2:$I$17,4,FALSE)),((C29*0.06%)+(C29+E29))*(VLOOKUP($H$7,Workings!$F$2:$I$17,4,FALSE)))</f>
        <v>#DIV/0!</v>
      </c>
      <c r="E29" s="50">
        <f>IF($L$17="FOB",M20/I20,0)</f>
        <v>0</v>
      </c>
      <c r="F29" s="50">
        <f>(P20)+(_xlfn.IFNA(VLOOKUP(N20,Workings!$N$2:$O$7,2,FALSE),0)+(((($C$11*J20)+(($C$10*J20)*0.5))/1000)*10.29)+(IF(OR(N20="AGT",N20="Seafrigo",N20="FAR LOGISTICS",N20="EWL"),(VLOOKUP(O20,Workings!$B$12:$E$22,4,FALSE)))))</f>
        <v>0</v>
      </c>
      <c r="G29" s="50">
        <f>IF(AND($F$7="Licence",$C$9&lt;&gt;"veg",$C$9&lt;&gt;"Spring Roll &amp; Samosa",$C$9&lt;&gt;"Onion Bhajis"),Q20*(J20*$C$11),0)</f>
        <v>0</v>
      </c>
      <c r="H29" s="50">
        <f>IF(J20="",0,IF($F$9="Yes",((8.95+1.95+7.95)*35),0))</f>
        <v>0</v>
      </c>
      <c r="I29" s="50">
        <f>IF(J20="",0,IF($F$8="No",(475+150+770),0))</f>
        <v>0</v>
      </c>
      <c r="J29" s="51" t="e">
        <f>IF($F$8="Yes",0,IF($F$7="Full Duty",0,IF($C$9="Veg",0,IF(VLOOKUP($H$7,Workings!$F$2:$I$17,4,FALSE)&lt;=11%,((C29*100.06%)+E29)*(11%-VLOOKUP($H$7,Workings!$F$2:$I$17,4,FALSE))))))</f>
        <v>#N/A</v>
      </c>
      <c r="K29" s="51">
        <f>IF(AND(ISNUMBER(F10), ISNUMBER(F11)), (F10/100)*F11,"")</f>
        <v>0</v>
      </c>
      <c r="L29" s="440" t="e">
        <f>C29+D29+E29+F29+G29+H29+I29+J29+F12</f>
        <v>#DIV/0!</v>
      </c>
      <c r="M29" s="50">
        <f>IFERROR(L29/J20,0)</f>
        <v>0</v>
      </c>
      <c r="N29" s="50">
        <f>IFERROR((L29/(J20*$C$11)),0)</f>
        <v>0</v>
      </c>
      <c r="O29" s="52">
        <f>IFERROR((R20-M29)/R20,0)</f>
        <v>0</v>
      </c>
      <c r="P29" s="79"/>
      <c r="Q29" s="79"/>
      <c r="R29" s="32"/>
      <c r="S29" s="103"/>
    </row>
    <row r="30" spans="1:19" s="1" customFormat="1" ht="15.75" x14ac:dyDescent="0.25">
      <c r="A30" s="97"/>
      <c r="B30" s="41">
        <v>5</v>
      </c>
      <c r="C30" s="42" t="e">
        <f>((H21/1000)*($C$11*J21))/I21</f>
        <v>#DIV/0!</v>
      </c>
      <c r="D30" s="42" t="e">
        <f>IF($F$7="Full Duty",(($C$11*J21)/1000)*(VLOOKUP($H$7,Workings!$F$2:$I$17,4,FALSE)),((C30*0.06%)+(C30+E30))*(VLOOKUP($H$7,Workings!$F$2:$I$17,4,FALSE)))</f>
        <v>#DIV/0!</v>
      </c>
      <c r="E30" s="42">
        <f>IF($L$17="FOB",M21/I21,0)</f>
        <v>0</v>
      </c>
      <c r="F30" s="42">
        <f>(P21)+(_xlfn.IFNA(VLOOKUP(N21,Workings!$N$2:$O$7,2,FALSE),0)+(((($C$11*J21)+(($C$10*J21)*0.5))/1000)*10.29)+(IF(OR(N21="AGT",N21="Seafrigo",N21="FAR LOGISTICS",N21="EWL"),(VLOOKUP(O21,Workings!$B$12:$E$22,4,FALSE)))))</f>
        <v>0</v>
      </c>
      <c r="G30" s="42">
        <f>IF(AND($F$7="Licence",$C$9&lt;&gt;"veg",$C$9&lt;&gt;"Spring Roll &amp; Samosa",$C$9&lt;&gt;"Onion Bhajis"),Q21*(J21*$C$11),0)</f>
        <v>0</v>
      </c>
      <c r="H30" s="42">
        <f>IF(J21="",0,IF($F$9="Yes",((8.95+1.95+7.95)*35),0))</f>
        <v>0</v>
      </c>
      <c r="I30" s="42">
        <f>IF(J21="",0,IF($F$8="No",(475+150+770),0))</f>
        <v>0</v>
      </c>
      <c r="J30" s="43" t="e">
        <f>IF($F$8="Yes",0,IF($F$7="Full Duty",0,IF($C$9="Veg",0,IF(VLOOKUP($H$7,Workings!$F$2:$I$17,4,FALSE)&lt;=11%,((C30*100.06%)+E30)*(11%-VLOOKUP($H$7,Workings!$F$2:$I$17,4,FALSE))))))</f>
        <v>#N/A</v>
      </c>
      <c r="K30" s="43">
        <f>IF(AND(ISNUMBER(F10), ISNUMBER(F11)), (F10/100)*F11,"")</f>
        <v>0</v>
      </c>
      <c r="L30" s="441" t="e">
        <f>C30+D30+E30+F30+G30+H30+I30+J30+F12</f>
        <v>#DIV/0!</v>
      </c>
      <c r="M30" s="42">
        <f>IFERROR(L30/J21,0)</f>
        <v>0</v>
      </c>
      <c r="N30" s="42">
        <f>IFERROR((L30/(J21*$C$11)),0)</f>
        <v>0</v>
      </c>
      <c r="O30" s="44">
        <f>IFERROR((R21-M30)/R21,0)</f>
        <v>0</v>
      </c>
      <c r="P30" s="79"/>
      <c r="Q30" s="79"/>
      <c r="R30" s="32"/>
      <c r="S30" s="103"/>
    </row>
    <row r="31" spans="1:19" ht="15.75" thickBot="1" x14ac:dyDescent="0.3">
      <c r="A31" s="96"/>
      <c r="B31" s="9"/>
      <c r="C31" s="57"/>
      <c r="D31" s="57"/>
      <c r="E31" s="57"/>
      <c r="F31" s="57"/>
      <c r="G31" s="57"/>
      <c r="H31" s="57"/>
      <c r="I31" s="57"/>
      <c r="J31" s="57"/>
      <c r="K31" s="57"/>
      <c r="L31" s="57"/>
      <c r="M31" s="57"/>
      <c r="N31" s="57"/>
      <c r="O31" s="57"/>
      <c r="P31" s="57"/>
      <c r="Q31" s="57"/>
      <c r="R31" s="26"/>
      <c r="S31" s="100"/>
    </row>
    <row r="32" spans="1:19" ht="15.75" thickBot="1" x14ac:dyDescent="0.3">
      <c r="A32" s="96"/>
      <c r="B32" s="12" t="s">
        <v>88</v>
      </c>
      <c r="C32" s="57"/>
      <c r="D32" s="57"/>
      <c r="E32" s="57"/>
      <c r="F32" s="57"/>
      <c r="G32" s="57"/>
      <c r="H32" s="57"/>
      <c r="I32" s="57"/>
      <c r="J32" s="57"/>
      <c r="K32" s="57"/>
      <c r="L32" s="57"/>
      <c r="M32" s="57"/>
      <c r="N32" s="57"/>
      <c r="O32" s="57"/>
      <c r="P32" s="57"/>
      <c r="Q32" s="57"/>
      <c r="R32" s="26"/>
      <c r="S32" s="100"/>
    </row>
    <row r="33" spans="1:19" ht="15.75" thickBot="1" x14ac:dyDescent="0.3">
      <c r="A33" s="96"/>
      <c r="B33" s="9"/>
      <c r="C33" s="57"/>
      <c r="D33" s="57"/>
      <c r="E33" s="57"/>
      <c r="F33" s="57"/>
      <c r="G33" s="57"/>
      <c r="H33" s="57"/>
      <c r="I33" s="57"/>
      <c r="J33" s="57"/>
      <c r="K33" s="57"/>
      <c r="L33" s="57"/>
      <c r="M33" s="57"/>
      <c r="N33" s="57"/>
      <c r="O33" s="57"/>
      <c r="P33" s="57"/>
      <c r="Q33" s="57"/>
      <c r="R33" s="26"/>
      <c r="S33" s="100"/>
    </row>
    <row r="34" spans="1:19" ht="15.75" thickBot="1" x14ac:dyDescent="0.3">
      <c r="A34" s="96"/>
      <c r="B34" s="13" t="s">
        <v>56</v>
      </c>
      <c r="C34" s="14"/>
      <c r="D34" s="57"/>
      <c r="E34" s="57"/>
      <c r="F34" s="57"/>
      <c r="G34" s="57"/>
      <c r="H34" s="57"/>
      <c r="I34" s="57"/>
      <c r="J34" s="57"/>
      <c r="K34" s="57"/>
      <c r="L34" s="57"/>
      <c r="M34" s="57"/>
      <c r="N34" s="57"/>
      <c r="O34" s="57"/>
      <c r="P34" s="57"/>
      <c r="Q34" s="57"/>
      <c r="R34" s="26"/>
      <c r="S34" s="100"/>
    </row>
    <row r="35" spans="1:19" ht="15.75" thickBot="1" x14ac:dyDescent="0.3">
      <c r="A35" s="96"/>
      <c r="B35" s="9"/>
      <c r="C35" s="85" t="s">
        <v>91</v>
      </c>
      <c r="D35" s="57"/>
      <c r="E35" s="57"/>
      <c r="F35" s="57"/>
      <c r="G35" s="57"/>
      <c r="H35" s="57"/>
      <c r="I35" s="57"/>
      <c r="J35" s="57"/>
      <c r="K35" s="57"/>
      <c r="L35" s="57"/>
      <c r="M35" s="57"/>
      <c r="N35" s="57"/>
      <c r="O35" s="57"/>
      <c r="P35" s="57"/>
      <c r="Q35" s="57"/>
      <c r="R35" s="26"/>
      <c r="S35" s="100"/>
    </row>
    <row r="36" spans="1:19" x14ac:dyDescent="0.25">
      <c r="A36" s="96"/>
      <c r="B36" s="8" t="s">
        <v>89</v>
      </c>
      <c r="C36" s="11">
        <v>2200</v>
      </c>
      <c r="D36" s="57"/>
      <c r="E36" s="57"/>
      <c r="F36" s="57"/>
      <c r="G36" s="57"/>
      <c r="H36" s="57"/>
      <c r="I36" s="57"/>
      <c r="J36" s="57"/>
      <c r="K36" s="57"/>
      <c r="L36" s="57"/>
      <c r="M36" s="57"/>
      <c r="N36" s="57"/>
      <c r="O36" s="57"/>
      <c r="P36" s="57"/>
      <c r="Q36" s="57"/>
      <c r="R36" s="26"/>
      <c r="S36" s="100"/>
    </row>
    <row r="37" spans="1:19" x14ac:dyDescent="0.25">
      <c r="A37" s="96"/>
      <c r="B37" s="90" t="s">
        <v>316</v>
      </c>
      <c r="C37" s="241">
        <v>3450</v>
      </c>
      <c r="D37" s="57"/>
      <c r="E37" s="57"/>
      <c r="F37" s="57"/>
      <c r="G37" s="57"/>
      <c r="H37" s="57"/>
      <c r="I37" s="57"/>
      <c r="J37" s="57"/>
      <c r="K37" s="57"/>
      <c r="L37" s="57"/>
      <c r="M37" s="57"/>
      <c r="N37" s="57"/>
      <c r="O37" s="57"/>
      <c r="P37" s="57"/>
      <c r="Q37" s="57"/>
      <c r="R37" s="26"/>
      <c r="S37" s="100"/>
    </row>
    <row r="38" spans="1:19" ht="15.75" thickBot="1" x14ac:dyDescent="0.3">
      <c r="A38" s="96"/>
      <c r="B38" s="87" t="s">
        <v>49</v>
      </c>
      <c r="C38" s="242">
        <v>3400</v>
      </c>
      <c r="D38" s="57"/>
      <c r="E38" s="57"/>
      <c r="F38" s="57"/>
      <c r="G38" s="57"/>
      <c r="H38" s="57"/>
      <c r="I38" s="57"/>
      <c r="J38" s="57"/>
      <c r="K38" s="57"/>
      <c r="L38" s="57"/>
      <c r="M38" s="57"/>
      <c r="N38" s="57"/>
      <c r="O38" s="57"/>
      <c r="P38" s="57"/>
      <c r="Q38" s="57"/>
      <c r="R38" s="26"/>
      <c r="S38" s="100"/>
    </row>
    <row r="39" spans="1:19" ht="15.75" thickBot="1" x14ac:dyDescent="0.3">
      <c r="A39" s="96"/>
      <c r="B39" s="9"/>
      <c r="C39" s="57"/>
      <c r="D39" s="57"/>
      <c r="E39" s="57"/>
      <c r="F39" s="57"/>
      <c r="G39" s="57"/>
      <c r="H39" s="57"/>
      <c r="I39" s="57"/>
      <c r="J39" s="57"/>
      <c r="K39" s="57"/>
      <c r="L39" s="57"/>
      <c r="M39" s="57"/>
      <c r="N39" s="57"/>
      <c r="O39" s="57"/>
      <c r="P39" s="57"/>
      <c r="Q39" s="57"/>
      <c r="R39" s="26"/>
      <c r="S39" s="100"/>
    </row>
    <row r="40" spans="1:19" ht="15.75" thickBot="1" x14ac:dyDescent="0.3">
      <c r="A40" s="96"/>
      <c r="B40" s="13" t="s">
        <v>33</v>
      </c>
      <c r="C40" s="288" t="s">
        <v>48</v>
      </c>
      <c r="D40" s="288" t="s">
        <v>47</v>
      </c>
      <c r="E40" s="57"/>
      <c r="F40" s="57"/>
      <c r="G40" s="57"/>
      <c r="H40" s="57"/>
      <c r="I40" s="57"/>
      <c r="J40" s="57"/>
      <c r="K40" s="57"/>
      <c r="L40" s="57"/>
      <c r="M40" s="57"/>
      <c r="N40" s="57"/>
      <c r="O40" s="57"/>
      <c r="P40" s="57"/>
      <c r="Q40" s="57"/>
      <c r="R40" s="26"/>
      <c r="S40" s="100"/>
    </row>
    <row r="41" spans="1:19" ht="15.75" thickBot="1" x14ac:dyDescent="0.3">
      <c r="A41" s="96"/>
      <c r="B41" s="9"/>
      <c r="C41" s="86" t="s">
        <v>90</v>
      </c>
      <c r="D41" s="86" t="s">
        <v>90</v>
      </c>
      <c r="E41" s="57"/>
      <c r="F41" s="57"/>
      <c r="G41" s="57"/>
      <c r="H41" s="57"/>
      <c r="I41" s="57"/>
      <c r="J41" s="13" t="s">
        <v>33</v>
      </c>
      <c r="K41" s="288" t="s">
        <v>47</v>
      </c>
      <c r="L41" s="288" t="s">
        <v>49</v>
      </c>
      <c r="M41" s="57"/>
      <c r="N41" s="57"/>
      <c r="O41" s="57"/>
      <c r="P41" s="57"/>
      <c r="Q41" s="57"/>
      <c r="R41" s="26"/>
      <c r="S41" s="100"/>
    </row>
    <row r="42" spans="1:19" ht="15.75" thickBot="1" x14ac:dyDescent="0.3">
      <c r="A42" s="96"/>
      <c r="B42" s="297" t="s">
        <v>334</v>
      </c>
      <c r="C42" s="289">
        <f>675+25</f>
        <v>700</v>
      </c>
      <c r="D42" s="15">
        <f>675+25</f>
        <v>700</v>
      </c>
      <c r="E42" s="57"/>
      <c r="F42" s="57"/>
      <c r="G42" s="57"/>
      <c r="H42" s="57"/>
      <c r="I42" s="57"/>
      <c r="J42" s="57"/>
      <c r="K42" s="57"/>
      <c r="L42" s="57"/>
      <c r="M42" s="57"/>
      <c r="N42" s="57"/>
      <c r="O42" s="57"/>
      <c r="P42" s="57"/>
      <c r="Q42" s="57"/>
      <c r="R42" s="26"/>
      <c r="S42" s="100"/>
    </row>
    <row r="43" spans="1:19" x14ac:dyDescent="0.25">
      <c r="A43" s="96"/>
      <c r="B43" s="296" t="s">
        <v>335</v>
      </c>
      <c r="C43" s="290">
        <f>840+25</f>
        <v>865</v>
      </c>
      <c r="D43" s="10">
        <f>965+25</f>
        <v>990</v>
      </c>
      <c r="E43" s="57"/>
      <c r="F43" s="57"/>
      <c r="G43" s="57"/>
      <c r="H43" s="57"/>
      <c r="I43" s="57"/>
      <c r="J43" s="387" t="s">
        <v>518</v>
      </c>
      <c r="K43" s="379">
        <v>485</v>
      </c>
      <c r="L43" s="380"/>
      <c r="M43" s="57"/>
      <c r="N43" s="57"/>
      <c r="O43" s="57"/>
      <c r="P43" s="57"/>
      <c r="Q43" s="57"/>
      <c r="R43" s="26"/>
      <c r="S43" s="100"/>
    </row>
    <row r="44" spans="1:19" x14ac:dyDescent="0.25">
      <c r="A44" s="96"/>
      <c r="B44" s="298" t="s">
        <v>336</v>
      </c>
      <c r="C44" s="291">
        <f>690+25</f>
        <v>715</v>
      </c>
      <c r="D44" s="16">
        <f>465+25</f>
        <v>490</v>
      </c>
      <c r="E44" s="57"/>
      <c r="F44" s="57"/>
      <c r="G44" s="57"/>
      <c r="H44" s="57"/>
      <c r="I44" s="57"/>
      <c r="J44" s="388" t="s">
        <v>519</v>
      </c>
      <c r="K44" s="381">
        <v>640</v>
      </c>
      <c r="L44" s="382"/>
      <c r="M44" s="57"/>
      <c r="N44" s="57"/>
      <c r="O44" s="57"/>
      <c r="P44" s="57"/>
      <c r="Q44" s="57"/>
      <c r="R44" s="26"/>
      <c r="S44" s="100"/>
    </row>
    <row r="45" spans="1:19" x14ac:dyDescent="0.25">
      <c r="A45" s="96"/>
      <c r="B45" s="298" t="s">
        <v>347</v>
      </c>
      <c r="C45" s="291">
        <f>720+25</f>
        <v>745</v>
      </c>
      <c r="D45" s="16">
        <f>510+25</f>
        <v>535</v>
      </c>
      <c r="E45" s="57"/>
      <c r="F45" s="57"/>
      <c r="G45" s="57"/>
      <c r="H45" s="57"/>
      <c r="I45" s="57"/>
      <c r="J45" s="389" t="s">
        <v>520</v>
      </c>
      <c r="K45" s="383">
        <v>790</v>
      </c>
      <c r="L45" s="384"/>
      <c r="M45" s="57"/>
      <c r="N45" s="57"/>
      <c r="O45" s="57"/>
      <c r="P45" s="57"/>
      <c r="Q45" s="57"/>
      <c r="R45" s="26"/>
      <c r="S45" s="100"/>
    </row>
    <row r="46" spans="1:19" x14ac:dyDescent="0.25">
      <c r="A46" s="96"/>
      <c r="B46" s="296" t="s">
        <v>337</v>
      </c>
      <c r="C46" s="290">
        <f>890+25</f>
        <v>915</v>
      </c>
      <c r="D46" s="10">
        <f>1020+25</f>
        <v>1045</v>
      </c>
      <c r="E46" s="57"/>
      <c r="F46" s="57"/>
      <c r="G46" s="57"/>
      <c r="H46" s="57"/>
      <c r="I46" s="57"/>
      <c r="J46" s="388" t="s">
        <v>521</v>
      </c>
      <c r="K46" s="381">
        <v>1100</v>
      </c>
      <c r="L46" s="382"/>
      <c r="M46" s="57"/>
      <c r="N46" s="57"/>
      <c r="O46" s="57"/>
      <c r="P46" s="57"/>
      <c r="Q46" s="57"/>
      <c r="R46" s="26"/>
      <c r="S46" s="100"/>
    </row>
    <row r="47" spans="1:19" x14ac:dyDescent="0.25">
      <c r="A47" s="96"/>
      <c r="B47" s="298" t="s">
        <v>338</v>
      </c>
      <c r="C47" s="291">
        <f>580+25</f>
        <v>605</v>
      </c>
      <c r="D47" s="16">
        <f>740+25</f>
        <v>765</v>
      </c>
      <c r="E47" s="57"/>
      <c r="F47" s="57"/>
      <c r="G47" s="57"/>
      <c r="H47" s="57"/>
      <c r="I47" s="57"/>
      <c r="J47" s="389" t="s">
        <v>522</v>
      </c>
      <c r="K47" s="383">
        <v>825</v>
      </c>
      <c r="L47" s="384"/>
      <c r="M47" s="57"/>
      <c r="N47" s="57"/>
      <c r="O47" s="57"/>
      <c r="P47" s="57"/>
      <c r="Q47" s="57"/>
      <c r="R47" s="26"/>
      <c r="S47" s="100"/>
    </row>
    <row r="48" spans="1:19" x14ac:dyDescent="0.25">
      <c r="A48" s="96"/>
      <c r="B48" s="296" t="s">
        <v>339</v>
      </c>
      <c r="C48" s="290">
        <f>640+25</f>
        <v>665</v>
      </c>
      <c r="D48" s="10">
        <f>635+25</f>
        <v>660</v>
      </c>
      <c r="E48" s="57"/>
      <c r="F48" s="57"/>
      <c r="G48" s="57"/>
      <c r="H48" s="57"/>
      <c r="I48" s="57"/>
      <c r="J48" s="388" t="s">
        <v>523</v>
      </c>
      <c r="K48" s="381">
        <v>835</v>
      </c>
      <c r="L48" s="382"/>
      <c r="M48" s="57"/>
      <c r="N48" s="57"/>
      <c r="O48" s="57"/>
      <c r="P48" s="57"/>
      <c r="Q48" s="57"/>
      <c r="R48" s="26"/>
      <c r="S48" s="100"/>
    </row>
    <row r="49" spans="1:20" x14ac:dyDescent="0.25">
      <c r="A49" s="96"/>
      <c r="B49" s="298" t="s">
        <v>340</v>
      </c>
      <c r="C49" s="291">
        <f>980+25</f>
        <v>1005</v>
      </c>
      <c r="D49" s="16">
        <f>1065+25</f>
        <v>1090</v>
      </c>
      <c r="E49" s="57"/>
      <c r="F49" s="57"/>
      <c r="G49" s="57"/>
      <c r="H49" s="57"/>
      <c r="I49" s="57"/>
      <c r="J49" s="389" t="s">
        <v>524</v>
      </c>
      <c r="K49" s="383">
        <v>1540</v>
      </c>
      <c r="L49" s="384"/>
      <c r="M49" s="57"/>
      <c r="N49" s="57"/>
      <c r="O49" s="57"/>
      <c r="P49" s="57"/>
      <c r="Q49" s="57"/>
      <c r="R49" s="26"/>
      <c r="S49" s="100"/>
    </row>
    <row r="50" spans="1:20" x14ac:dyDescent="0.25">
      <c r="A50" s="96"/>
      <c r="B50" s="296" t="s">
        <v>341</v>
      </c>
      <c r="C50" s="290">
        <f>1030+25</f>
        <v>1055</v>
      </c>
      <c r="D50" s="10">
        <f>885+25</f>
        <v>910</v>
      </c>
      <c r="E50" s="57"/>
      <c r="F50" s="57"/>
      <c r="G50" s="57"/>
      <c r="H50" s="57"/>
      <c r="I50" s="57"/>
      <c r="J50" s="388" t="s">
        <v>525</v>
      </c>
      <c r="K50" s="381">
        <v>715</v>
      </c>
      <c r="L50" s="382"/>
      <c r="M50" s="57"/>
      <c r="N50" s="57"/>
      <c r="O50" s="57"/>
      <c r="P50" s="57"/>
      <c r="Q50" s="57"/>
      <c r="R50" s="26"/>
      <c r="S50" s="100"/>
    </row>
    <row r="51" spans="1:20" x14ac:dyDescent="0.25">
      <c r="A51" s="96"/>
      <c r="B51" s="298" t="s">
        <v>342</v>
      </c>
      <c r="C51" s="291">
        <f>1290+25</f>
        <v>1315</v>
      </c>
      <c r="D51" s="16">
        <f>1280+25</f>
        <v>1305</v>
      </c>
      <c r="E51" s="57"/>
      <c r="F51" s="57"/>
      <c r="G51" s="89"/>
      <c r="H51" s="57"/>
      <c r="I51" s="57"/>
      <c r="J51" s="389" t="s">
        <v>526</v>
      </c>
      <c r="K51" s="383">
        <v>895</v>
      </c>
      <c r="L51" s="384"/>
      <c r="M51" s="57"/>
      <c r="N51" s="57"/>
      <c r="O51" s="57"/>
      <c r="P51" s="57"/>
      <c r="Q51" s="57"/>
      <c r="R51" s="26"/>
      <c r="S51" s="100"/>
    </row>
    <row r="52" spans="1:20" x14ac:dyDescent="0.25">
      <c r="A52" s="96"/>
      <c r="B52" s="296" t="s">
        <v>343</v>
      </c>
      <c r="C52" s="290">
        <f>680+25</f>
        <v>705</v>
      </c>
      <c r="D52" s="10">
        <f>535+25</f>
        <v>560</v>
      </c>
      <c r="E52" s="57"/>
      <c r="F52" s="57"/>
      <c r="G52" s="89"/>
      <c r="H52" s="57"/>
      <c r="I52" s="57"/>
      <c r="J52" s="388" t="s">
        <v>527</v>
      </c>
      <c r="K52" s="381">
        <v>810</v>
      </c>
      <c r="L52" s="382"/>
      <c r="M52" s="57"/>
      <c r="N52" s="57"/>
      <c r="O52" s="57"/>
      <c r="P52" s="57"/>
      <c r="Q52" s="57"/>
      <c r="R52" s="26"/>
      <c r="S52" s="100"/>
    </row>
    <row r="53" spans="1:20" x14ac:dyDescent="0.25">
      <c r="A53" s="96"/>
      <c r="B53" s="298" t="s">
        <v>344</v>
      </c>
      <c r="C53" s="291">
        <f>440+25</f>
        <v>465</v>
      </c>
      <c r="D53" s="16">
        <f>635+25</f>
        <v>660</v>
      </c>
      <c r="E53" s="57"/>
      <c r="F53" s="57"/>
      <c r="G53" s="89"/>
      <c r="H53" s="57"/>
      <c r="I53" s="57"/>
      <c r="J53" s="389" t="s">
        <v>528</v>
      </c>
      <c r="K53" s="383">
        <v>250</v>
      </c>
      <c r="L53" s="384"/>
      <c r="M53" s="57"/>
      <c r="N53" s="57"/>
      <c r="O53" s="57"/>
      <c r="P53" s="57"/>
      <c r="Q53" s="57"/>
      <c r="R53" s="26"/>
      <c r="S53" s="100"/>
    </row>
    <row r="54" spans="1:20" x14ac:dyDescent="0.25">
      <c r="A54" s="96"/>
      <c r="B54" s="296" t="s">
        <v>345</v>
      </c>
      <c r="C54" s="290">
        <f>950+25</f>
        <v>975</v>
      </c>
      <c r="D54" s="10">
        <f>955+25</f>
        <v>980</v>
      </c>
      <c r="E54" s="57"/>
      <c r="F54" s="57"/>
      <c r="G54" s="89"/>
      <c r="H54" s="57"/>
      <c r="I54" s="57"/>
      <c r="J54" s="296"/>
      <c r="K54" s="381"/>
      <c r="L54" s="382"/>
      <c r="M54" s="57"/>
      <c r="N54" s="57"/>
      <c r="O54" s="57"/>
      <c r="P54" s="57"/>
      <c r="Q54" s="57"/>
      <c r="R54" s="26"/>
      <c r="S54" s="100"/>
    </row>
    <row r="55" spans="1:20" x14ac:dyDescent="0.25">
      <c r="A55" s="96"/>
      <c r="B55" s="298" t="s">
        <v>346</v>
      </c>
      <c r="C55" s="291">
        <f>890+25</f>
        <v>915</v>
      </c>
      <c r="D55" s="16">
        <f>1020+25</f>
        <v>1045</v>
      </c>
      <c r="E55" s="57"/>
      <c r="F55" s="57"/>
      <c r="G55" s="89"/>
      <c r="H55" s="57"/>
      <c r="I55" s="57"/>
      <c r="J55" s="298"/>
      <c r="K55" s="383"/>
      <c r="L55" s="384"/>
      <c r="M55" s="57"/>
      <c r="N55" s="57"/>
      <c r="O55" s="57"/>
      <c r="P55" s="57"/>
      <c r="Q55" s="57"/>
      <c r="R55" s="26"/>
      <c r="S55" s="100"/>
    </row>
    <row r="56" spans="1:20" ht="15.75" thickBot="1" x14ac:dyDescent="0.3">
      <c r="A56" s="96"/>
      <c r="B56" s="299" t="s">
        <v>102</v>
      </c>
      <c r="C56" s="294">
        <v>2435</v>
      </c>
      <c r="D56" s="295"/>
      <c r="E56" s="57"/>
      <c r="F56" s="57"/>
      <c r="G56" s="89"/>
      <c r="H56" s="57"/>
      <c r="I56" s="57"/>
      <c r="J56" s="378"/>
      <c r="K56" s="385"/>
      <c r="L56" s="386"/>
      <c r="M56" s="57"/>
      <c r="N56" s="57"/>
      <c r="O56" s="57"/>
      <c r="P56" s="57"/>
      <c r="Q56" s="57"/>
      <c r="R56" s="26"/>
      <c r="S56" s="100"/>
    </row>
    <row r="57" spans="1:20" ht="15.75" thickBot="1" x14ac:dyDescent="0.3">
      <c r="A57" s="96"/>
      <c r="B57" s="300" t="s">
        <v>103</v>
      </c>
      <c r="C57" s="292">
        <v>1623</v>
      </c>
      <c r="D57" s="293"/>
      <c r="E57" s="57"/>
      <c r="F57" s="57"/>
      <c r="G57" s="89"/>
      <c r="H57" s="57"/>
      <c r="I57" s="57"/>
      <c r="J57" s="57"/>
      <c r="K57" s="57"/>
      <c r="L57" s="57"/>
      <c r="M57" s="57"/>
      <c r="N57" s="57"/>
      <c r="O57" s="57"/>
      <c r="P57" s="57"/>
      <c r="Q57" s="57"/>
      <c r="R57" s="26"/>
      <c r="S57" s="100"/>
    </row>
    <row r="58" spans="1:20" ht="15.75" thickBot="1" x14ac:dyDescent="0.3">
      <c r="A58" s="98"/>
      <c r="B58" s="87"/>
      <c r="C58" s="34"/>
      <c r="D58" s="34"/>
      <c r="E58" s="34"/>
      <c r="F58" s="34"/>
      <c r="G58" s="34"/>
      <c r="H58" s="34"/>
      <c r="I58" s="34"/>
      <c r="J58" s="34"/>
      <c r="K58" s="34"/>
      <c r="L58" s="34"/>
      <c r="M58" s="34"/>
      <c r="N58" s="34"/>
      <c r="O58" s="34"/>
      <c r="P58" s="34"/>
      <c r="Q58" s="34"/>
      <c r="R58" s="35"/>
      <c r="S58" s="100"/>
      <c r="T58" s="68"/>
    </row>
    <row r="59" spans="1:20" ht="37.5" customHeight="1" thickBot="1" x14ac:dyDescent="0.3">
      <c r="A59" s="99"/>
      <c r="B59" s="105"/>
      <c r="C59" s="105"/>
      <c r="D59" s="105"/>
      <c r="E59" s="105"/>
      <c r="F59" s="105"/>
      <c r="G59" s="105"/>
      <c r="H59" s="105"/>
      <c r="I59" s="105"/>
      <c r="J59" s="105"/>
      <c r="K59" s="105"/>
      <c r="L59" s="105"/>
      <c r="M59" s="105"/>
      <c r="N59" s="105"/>
      <c r="O59" s="105"/>
      <c r="P59" s="105"/>
      <c r="Q59" s="105"/>
      <c r="R59" s="105"/>
      <c r="S59" s="104"/>
    </row>
  </sheetData>
  <mergeCells count="5">
    <mergeCell ref="C15:G15"/>
    <mergeCell ref="I8:N10"/>
    <mergeCell ref="E6:F6"/>
    <mergeCell ref="B6:C6"/>
    <mergeCell ref="I5:N7"/>
  </mergeCells>
  <printOptions horizontalCentered="1" verticalCentered="1"/>
  <pageMargins left="0.25" right="0.25" top="0.75" bottom="0.75" header="0.3" footer="0.3"/>
  <pageSetup paperSize="9" scale="44" orientation="landscape" r:id="rId1"/>
  <ignoredErrors>
    <ignoredError sqref="C26:C30 J26:J30 D26:D30 E27:E30 L26:L30" evalError="1"/>
  </ignoredErrors>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0000000}">
          <x14:formula1>
            <xm:f>Workings!$C$6:$C$7</xm:f>
          </x14:formula1>
          <xm:sqref>F8:G9</xm:sqref>
        </x14:dataValidation>
        <x14:dataValidation type="list" allowBlank="1" showInputMessage="1" showErrorMessage="1" xr:uid="{00000000-0002-0000-0000-000001000000}">
          <x14:formula1>
            <xm:f>Workings!$D$6:$D$7</xm:f>
          </x14:formula1>
          <xm:sqref>G10 L17:L21</xm:sqref>
        </x14:dataValidation>
        <x14:dataValidation type="list" allowBlank="1" showInputMessage="1" showErrorMessage="1" xr:uid="{00000000-0002-0000-0000-000002000000}">
          <x14:formula1>
            <xm:f>Workings!$B$6:$B$7</xm:f>
          </x14:formula1>
          <xm:sqref>F7:G7</xm:sqref>
        </x14:dataValidation>
        <x14:dataValidation type="list" allowBlank="1" showInputMessage="1" showErrorMessage="1" xr:uid="{00000000-0002-0000-0000-000003000000}">
          <x14:formula1>
            <xm:f>Workings!$A$13:$A$21</xm:f>
          </x14:formula1>
          <xm:sqref>N17:N21</xm:sqref>
        </x14:dataValidation>
        <x14:dataValidation type="list" allowBlank="1" showInputMessage="1" showErrorMessage="1" xr:uid="{00000000-0002-0000-0000-000005000000}">
          <x14:formula1>
            <xm:f>Workings!$E$6:$E$7</xm:f>
          </x14:formula1>
          <xm:sqref>C17:C21</xm:sqref>
        </x14:dataValidation>
        <x14:dataValidation type="list" allowBlank="1" showInputMessage="1" showErrorMessage="1" xr:uid="{00000000-0002-0000-0000-000007000000}">
          <x14:formula1>
            <xm:f>Workings!$A$2:$A$11</xm:f>
          </x14:formula1>
          <xm:sqref>C9</xm:sqref>
        </x14:dataValidation>
        <x14:dataValidation type="list" allowBlank="1" showErrorMessage="1" xr:uid="{00000000-0002-0000-0000-000008000000}">
          <x14:formula1>
            <xm:f>Workings!$K$2:$K$14</xm:f>
          </x14:formula1>
          <xm:sqref>C12</xm:sqref>
        </x14:dataValidation>
        <x14:dataValidation type="list" allowBlank="1" showInputMessage="1" showErrorMessage="1" xr:uid="{C1EC561C-4433-4CC0-AEAA-8189CED85EA6}">
          <x14:formula1>
            <xm:f>Workings!$B$13:$B$19</xm:f>
          </x14:formula1>
          <xm:sqref>O17:O21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3" tint="0.39997558519241921"/>
    <pageSetUpPr fitToPage="1"/>
  </sheetPr>
  <dimension ref="A1:V62"/>
  <sheetViews>
    <sheetView topLeftCell="A10" zoomScale="90" zoomScaleNormal="90" workbookViewId="0">
      <selection activeCell="G33" sqref="G33"/>
    </sheetView>
  </sheetViews>
  <sheetFormatPr defaultRowHeight="15" x14ac:dyDescent="0.25"/>
  <cols>
    <col min="2" max="2" width="14.28515625" customWidth="1"/>
    <col min="3" max="3" width="22.85546875" customWidth="1"/>
    <col min="4" max="4" width="23.7109375" customWidth="1"/>
    <col min="5" max="5" width="16.28515625" customWidth="1"/>
    <col min="6" max="6" width="12.85546875" customWidth="1"/>
    <col min="7" max="15" width="14.28515625" customWidth="1"/>
    <col min="16" max="16" width="11.42578125" customWidth="1"/>
    <col min="17" max="17" width="5.7109375" customWidth="1"/>
    <col min="18" max="18" width="11.42578125" customWidth="1"/>
    <col min="19" max="19" width="11.140625" bestFit="1" customWidth="1"/>
    <col min="20" max="20" width="12.140625" bestFit="1" customWidth="1"/>
    <col min="21" max="21" width="9.7109375" bestFit="1" customWidth="1"/>
    <col min="22" max="22" width="10.5703125" customWidth="1"/>
  </cols>
  <sheetData>
    <row r="1" spans="1:22" ht="48" customHeight="1" thickBot="1" x14ac:dyDescent="0.3">
      <c r="A1" s="150"/>
      <c r="B1" s="151"/>
      <c r="C1" s="151"/>
      <c r="D1" s="151"/>
      <c r="E1" s="151"/>
      <c r="F1" s="151"/>
      <c r="G1" s="151"/>
      <c r="H1" s="151"/>
      <c r="I1" s="151"/>
      <c r="J1" s="151"/>
      <c r="K1" s="151"/>
      <c r="L1" s="151"/>
      <c r="M1" s="151"/>
      <c r="N1" s="151"/>
      <c r="O1" s="151"/>
      <c r="P1" s="151"/>
      <c r="Q1" s="151"/>
      <c r="R1" s="151"/>
      <c r="S1" s="151"/>
      <c r="T1" s="151"/>
      <c r="U1" s="151"/>
      <c r="V1" s="152"/>
    </row>
    <row r="2" spans="1:22" ht="23.25" x14ac:dyDescent="0.35">
      <c r="A2" s="153"/>
      <c r="B2" s="176"/>
      <c r="C2" s="177"/>
      <c r="D2" s="178"/>
      <c r="E2" s="178"/>
      <c r="F2" s="178"/>
      <c r="G2" s="178"/>
      <c r="H2" s="178"/>
      <c r="I2" s="178"/>
      <c r="J2" s="178"/>
      <c r="K2" s="178"/>
      <c r="L2" s="178"/>
      <c r="M2" s="178"/>
      <c r="N2" s="178"/>
      <c r="O2" s="178"/>
      <c r="P2" s="178"/>
      <c r="Q2" s="178"/>
      <c r="R2" s="178"/>
      <c r="S2" s="178"/>
      <c r="T2" s="178"/>
      <c r="U2" s="179"/>
      <c r="V2" s="155"/>
    </row>
    <row r="3" spans="1:22" ht="24" thickBot="1" x14ac:dyDescent="0.4">
      <c r="A3" s="153"/>
      <c r="B3" s="180"/>
      <c r="C3" s="330"/>
      <c r="D3" s="329"/>
      <c r="E3" s="329"/>
      <c r="F3" s="329"/>
      <c r="G3" s="329"/>
      <c r="H3" s="329"/>
      <c r="I3" s="329"/>
      <c r="J3" s="329"/>
      <c r="K3" s="329"/>
      <c r="L3" s="329"/>
      <c r="M3" s="329"/>
      <c r="N3" s="329"/>
      <c r="O3" s="329"/>
      <c r="P3" s="329"/>
      <c r="Q3" s="329"/>
      <c r="R3" s="329"/>
      <c r="S3" s="329"/>
      <c r="T3" s="329"/>
      <c r="U3" s="181"/>
      <c r="V3" s="155"/>
    </row>
    <row r="4" spans="1:22" ht="22.5" customHeight="1" thickBot="1" x14ac:dyDescent="0.3">
      <c r="A4" s="153"/>
      <c r="B4" s="180"/>
      <c r="C4" s="148" t="s">
        <v>75</v>
      </c>
      <c r="D4" s="329"/>
      <c r="E4" s="329"/>
      <c r="F4" s="329"/>
      <c r="G4" s="329"/>
      <c r="H4" s="329"/>
      <c r="I4" s="329"/>
      <c r="J4" s="329"/>
      <c r="K4" s="329"/>
      <c r="L4" s="329"/>
      <c r="M4" s="329"/>
      <c r="N4" s="329"/>
      <c r="O4" s="329"/>
      <c r="P4" s="329"/>
      <c r="Q4" s="329"/>
      <c r="R4" s="329"/>
      <c r="S4" s="329"/>
      <c r="T4" s="329"/>
      <c r="U4" s="181"/>
      <c r="V4" s="155"/>
    </row>
    <row r="5" spans="1:22" ht="30" customHeight="1" thickBot="1" x14ac:dyDescent="0.4">
      <c r="A5" s="153"/>
      <c r="B5" s="180"/>
      <c r="C5" s="330"/>
      <c r="D5" s="329"/>
      <c r="E5" s="329"/>
      <c r="F5" s="329"/>
      <c r="G5" s="329"/>
      <c r="H5" s="329"/>
      <c r="I5" s="329"/>
      <c r="J5" s="329"/>
      <c r="K5" s="402" t="s">
        <v>77</v>
      </c>
      <c r="L5" s="403"/>
      <c r="M5" s="403"/>
      <c r="N5" s="403"/>
      <c r="O5" s="404"/>
      <c r="P5" s="331"/>
      <c r="Q5" s="329"/>
      <c r="R5" s="329"/>
      <c r="S5" s="329"/>
      <c r="T5" s="329"/>
      <c r="U5" s="181"/>
      <c r="V5" s="155"/>
    </row>
    <row r="6" spans="1:22" ht="31.5" x14ac:dyDescent="0.25">
      <c r="A6" s="153"/>
      <c r="B6" s="198" t="s">
        <v>108</v>
      </c>
      <c r="C6" s="199" t="s">
        <v>26</v>
      </c>
      <c r="D6" s="413" t="s">
        <v>97</v>
      </c>
      <c r="E6" s="413"/>
      <c r="F6" s="200" t="s">
        <v>1</v>
      </c>
      <c r="G6" s="199" t="s">
        <v>2</v>
      </c>
      <c r="H6" s="199" t="s">
        <v>3</v>
      </c>
      <c r="I6" s="200" t="s">
        <v>27</v>
      </c>
      <c r="J6" s="351" t="s">
        <v>23</v>
      </c>
      <c r="K6" s="354" t="s">
        <v>78</v>
      </c>
      <c r="L6" s="200" t="s">
        <v>83</v>
      </c>
      <c r="M6" s="200" t="s">
        <v>84</v>
      </c>
      <c r="N6" s="200" t="s">
        <v>99</v>
      </c>
      <c r="O6" s="201" t="s">
        <v>94</v>
      </c>
      <c r="P6" s="159" t="s">
        <v>54</v>
      </c>
      <c r="Q6" s="329"/>
      <c r="R6" s="160"/>
      <c r="S6" s="161" t="s">
        <v>13</v>
      </c>
      <c r="T6" s="161" t="s">
        <v>12</v>
      </c>
      <c r="U6" s="182" t="s">
        <v>58</v>
      </c>
      <c r="V6" s="155"/>
    </row>
    <row r="7" spans="1:22" ht="30" customHeight="1" x14ac:dyDescent="0.25">
      <c r="A7" s="153"/>
      <c r="B7" s="203"/>
      <c r="C7" s="53"/>
      <c r="D7" s="414" cm="1">
        <f t="array" ref="D7">_xlfn.IFNA(_xlfn.XLOOKUP(B7&amp;C7,DataFeed!A2:A246&amp;DataFeed!B2:B246,DataFeed!C2:C246)," ")</f>
        <v>0</v>
      </c>
      <c r="E7" s="414"/>
      <c r="F7" s="53"/>
      <c r="G7" s="209" cm="1">
        <f t="array" ref="G7">_xlfn.IFNA(_xlfn.XLOOKUP(B7&amp;C7,DataFeed!A2:A246&amp;DataFeed!B2:B246,DataFeed!J2:J246)," ")</f>
        <v>0</v>
      </c>
      <c r="H7" s="209" cm="1">
        <f t="array" ref="H7">_xlfn.IFNA(_xlfn.XLOOKUP(B7&amp;C7,DataFeed!A2:A246&amp;DataFeed!B2:B246,DataFeed!G2:G246)," ")</f>
        <v>0</v>
      </c>
      <c r="I7" s="210" cm="1">
        <f t="array" ref="I7">_xlfn.IFNA(_xlfn.XLOOKUP(B7&amp;C7,DataFeed!A2:A246&amp;DataFeed!B2:B246,DataFeed!F2:F246)," ")</f>
        <v>0</v>
      </c>
      <c r="J7" s="352" cm="1">
        <f t="array" ref="J7">_xlfn.IFNA(_xlfn.XLOOKUP(B7&amp;C7,DataFeed!A2:A246&amp;DataFeed!B2:B246,DataFeed!I2:I246)," ")</f>
        <v>0</v>
      </c>
      <c r="K7" s="355"/>
      <c r="L7" s="51"/>
      <c r="M7" s="51"/>
      <c r="N7" s="211" t="str">
        <f>IFERROR(M7/G7,"")</f>
        <v/>
      </c>
      <c r="O7" s="212" t="str">
        <f>IFERROR(M7/H7,"")</f>
        <v/>
      </c>
      <c r="P7" s="59">
        <f>IF(K7="GBP",M7,IF(K7="Euro",M7/L7,0))</f>
        <v>0</v>
      </c>
      <c r="Q7" s="329"/>
      <c r="R7" s="160" t="str">
        <f>CONCATENATE(F7,$D$13)</f>
        <v/>
      </c>
      <c r="S7" s="162" t="e">
        <f>IF($D$13="Full Duty",0,((D29*0.06%)+D29+E29)*_xlfn.IFNA(VLOOKUP(R7,Workings!$F$6:$I$15,4,FALSE),0))</f>
        <v>#DIV/0!</v>
      </c>
      <c r="T7" s="162">
        <f>IF($D$13="Licence",0,((H7*J7)/1000)*(_xlfn.IFNA(VLOOKUP(R7,Workings!$F$6:$I$15,4,FALSE),0)))</f>
        <v>0</v>
      </c>
      <c r="U7" s="183">
        <f>_xlfn.IFNA(IF(VLOOKUP(R7,Workings!$F$6:$I$15,4,FALSE)&lt;=11%,((D29*100.06%)+E29)*(11%-(VLOOKUP(R7,Workings!$F$6:$I$15,4,FALSE))),0),0)</f>
        <v>0</v>
      </c>
      <c r="V7" s="155"/>
    </row>
    <row r="8" spans="1:22" ht="30" customHeight="1" x14ac:dyDescent="0.25">
      <c r="A8" s="153"/>
      <c r="B8" s="203"/>
      <c r="C8" s="53"/>
      <c r="D8" s="414" cm="1">
        <f t="array" ref="D8">_xlfn.IFNA(_xlfn.XLOOKUP(B8&amp;C8,DataFeed!A3:A247&amp;DataFeed!B3:B247,DataFeed!C3:C247)," ")</f>
        <v>0</v>
      </c>
      <c r="E8" s="414"/>
      <c r="F8" s="53"/>
      <c r="G8" s="209" cm="1">
        <f t="array" ref="G8">_xlfn.IFNA(_xlfn.XLOOKUP(B8&amp;C8,DataFeed!A3:A247&amp;DataFeed!B3:B247,DataFeed!J3:J247)," ")</f>
        <v>0</v>
      </c>
      <c r="H8" s="209" cm="1">
        <f t="array" ref="H8">_xlfn.IFNA(_xlfn.XLOOKUP(B8&amp;C8,DataFeed!A3:A247&amp;DataFeed!B3:B247,DataFeed!G3:G247)," ")</f>
        <v>0</v>
      </c>
      <c r="I8" s="210" cm="1">
        <f t="array" ref="I8">_xlfn.IFNA(_xlfn.XLOOKUP(B8&amp;C8,DataFeed!A3:A247&amp;DataFeed!B3:B247,DataFeed!F3:F247)," ")</f>
        <v>0</v>
      </c>
      <c r="J8" s="352" cm="1">
        <f t="array" ref="J8">_xlfn.IFNA(_xlfn.XLOOKUP(B8&amp;C8,DataFeed!A3:A247&amp;DataFeed!B3:B247,DataFeed!I3:I247)," ")</f>
        <v>0</v>
      </c>
      <c r="K8" s="355"/>
      <c r="L8" s="51"/>
      <c r="M8" s="51"/>
      <c r="N8" s="211" t="str">
        <f>IFERROR(M8/G8,"")</f>
        <v/>
      </c>
      <c r="O8" s="212" t="str">
        <f>IFERROR(M8/H8,"")</f>
        <v/>
      </c>
      <c r="P8" s="59">
        <f>IF(K8="GBP",M8,IF(K8="Euro",M8/L8,0))</f>
        <v>0</v>
      </c>
      <c r="Q8" s="329"/>
      <c r="R8" s="160" t="str">
        <f>CONCATENATE(F8,$D$13)</f>
        <v/>
      </c>
      <c r="S8" s="162" t="e">
        <f>IF($D$13="Full Duty",0,((D30*0.06%)+D30+E30)*_xlfn.IFNA(VLOOKUP(R8,Workings!$F$6:$I$15,4,FALSE),0))</f>
        <v>#DIV/0!</v>
      </c>
      <c r="T8" s="162">
        <f>IF($D$13="Licence",0,((H8*J8)/1000)*(_xlfn.IFNA(VLOOKUP(R8,Workings!$F$6:$I$15,4,FALSE),0)))</f>
        <v>0</v>
      </c>
      <c r="U8" s="183">
        <f>_xlfn.IFNA(IF(VLOOKUP(R8,Workings!$F$6:$I$15,4,FALSE)&lt;=11%,((D30*100.06%)+E30)*(11%-(VLOOKUP(R8,Workings!$F$6:$I$15,4,FALSE))),0),0)</f>
        <v>0</v>
      </c>
      <c r="V8" s="155"/>
    </row>
    <row r="9" spans="1:22" ht="30" customHeight="1" x14ac:dyDescent="0.25">
      <c r="A9" s="153"/>
      <c r="B9" s="203"/>
      <c r="C9" s="53"/>
      <c r="D9" s="414" cm="1">
        <f t="array" ref="D9">_xlfn.IFNA(_xlfn.XLOOKUP(B9&amp;C9,DataFeed!A4:A248&amp;DataFeed!B4:B248,DataFeed!C4:C248)," ")</f>
        <v>0</v>
      </c>
      <c r="E9" s="414"/>
      <c r="F9" s="53"/>
      <c r="G9" s="209" cm="1">
        <f t="array" ref="G9">_xlfn.IFNA(_xlfn.XLOOKUP(B9&amp;C9,DataFeed!A4:A248&amp;DataFeed!B4:B248,DataFeed!J4:J248)," ")</f>
        <v>0</v>
      </c>
      <c r="H9" s="209" cm="1">
        <f t="array" ref="H9">_xlfn.IFNA(_xlfn.XLOOKUP(B9&amp;C9,DataFeed!A4:A248&amp;DataFeed!B4:B248,DataFeed!G4:G248)," ")</f>
        <v>0</v>
      </c>
      <c r="I9" s="210" cm="1">
        <f t="array" ref="I9">_xlfn.IFNA(_xlfn.XLOOKUP(B9&amp;C9,DataFeed!A4:A248&amp;DataFeed!B4:B248,DataFeed!F4:F248)," ")</f>
        <v>0</v>
      </c>
      <c r="J9" s="352" cm="1">
        <f t="array" ref="J9">_xlfn.IFNA(_xlfn.XLOOKUP(B9&amp;C9,DataFeed!A4:A248&amp;DataFeed!B4:B248,DataFeed!I4:I248)," ")</f>
        <v>0</v>
      </c>
      <c r="K9" s="355"/>
      <c r="L9" s="51"/>
      <c r="M9" s="51"/>
      <c r="N9" s="211" t="str">
        <f>IFERROR(M9/G9,"")</f>
        <v/>
      </c>
      <c r="O9" s="212" t="str">
        <f>IFERROR(M9/H9,"")</f>
        <v/>
      </c>
      <c r="P9" s="59">
        <f>IF(K9="GBP",M9,IF(K9="Euro",M9/L9,0))</f>
        <v>0</v>
      </c>
      <c r="Q9" s="329"/>
      <c r="R9" s="160" t="str">
        <f>CONCATENATE(F9,$D$13)</f>
        <v/>
      </c>
      <c r="S9" s="162" t="e">
        <f>IF($D$13="Full Duty",0,((D31*0.06%)+D31+E31)*_xlfn.IFNA(VLOOKUP(R9,Workings!$F$6:$I$15,4,FALSE),0))</f>
        <v>#DIV/0!</v>
      </c>
      <c r="T9" s="162">
        <f>IF($D$13="Licence",0,((H9*J9)/1000)*(_xlfn.IFNA(VLOOKUP(R9,Workings!$F$6:$I$15,4,FALSE),0)))</f>
        <v>0</v>
      </c>
      <c r="U9" s="183">
        <f>_xlfn.IFNA(IF(VLOOKUP(R9,Workings!$F$6:$I$15,4,FALSE)&lt;=11%,((D31*100.06%)+E31)*(11%-(VLOOKUP(R9,Workings!$F$6:$I$15,4,FALSE))),0),0)</f>
        <v>0</v>
      </c>
      <c r="V9" s="155"/>
    </row>
    <row r="10" spans="1:22" ht="30" customHeight="1" thickBot="1" x14ac:dyDescent="0.3">
      <c r="A10" s="153"/>
      <c r="B10" s="204"/>
      <c r="C10" s="157"/>
      <c r="D10" s="415" cm="1">
        <f t="array" ref="D10">_xlfn.IFNA(_xlfn.XLOOKUP(B10&amp;C10,DataFeed!A5:A249&amp;DataFeed!B5:B249,DataFeed!C5:C249)," ")</f>
        <v>0</v>
      </c>
      <c r="E10" s="415"/>
      <c r="F10" s="157"/>
      <c r="G10" s="349" cm="1">
        <f t="array" ref="G10">_xlfn.IFNA(_xlfn.XLOOKUP(B10&amp;C10,DataFeed!A5:A249&amp;DataFeed!B5:B249,DataFeed!J5:J249)," ")</f>
        <v>0</v>
      </c>
      <c r="H10" s="349" cm="1">
        <f t="array" ref="H10">_xlfn.IFNA(_xlfn.XLOOKUP(B10&amp;C10,DataFeed!A5:A249&amp;DataFeed!B5:B249,DataFeed!G5:G249)," ")</f>
        <v>0</v>
      </c>
      <c r="I10" s="350" cm="1">
        <f t="array" ref="I10">_xlfn.IFNA(_xlfn.XLOOKUP(B10&amp;C10,DataFeed!A5:A249&amp;DataFeed!B5:B249,DataFeed!F5:F249)," ")</f>
        <v>0</v>
      </c>
      <c r="J10" s="353" cm="1">
        <f t="array" ref="J10">_xlfn.IFNA(_xlfn.XLOOKUP(B10&amp;C10,DataFeed!A5:A249&amp;DataFeed!B5:B249,DataFeed!I5:I249)," ")</f>
        <v>0</v>
      </c>
      <c r="K10" s="356"/>
      <c r="L10" s="158"/>
      <c r="M10" s="158"/>
      <c r="N10" s="213" t="str">
        <f>IFERROR(M10/G10,"")</f>
        <v/>
      </c>
      <c r="O10" s="214" t="str">
        <f>IFERROR(M10/H10,"")</f>
        <v/>
      </c>
      <c r="P10" s="59">
        <f>IF(K10="GBP",M10,IF(K10="Euro",M10/L10,0))</f>
        <v>0</v>
      </c>
      <c r="Q10" s="329"/>
      <c r="R10" s="160" t="str">
        <f>CONCATENATE(F10,$D$13)</f>
        <v/>
      </c>
      <c r="S10" s="162" t="e">
        <f>IF($D$13="Full Duty",0,((D32*0.06%)+D32+E32)*_xlfn.IFNA(VLOOKUP(R10,Workings!$F$6:$I$15,4,FALSE),0))</f>
        <v>#DIV/0!</v>
      </c>
      <c r="T10" s="162">
        <f>IF($D$13="Licence",0,((H10*J10)/1000)*(_xlfn.IFNA(VLOOKUP(R10,Workings!$F$6:$I$15,4,FALSE),0)))</f>
        <v>0</v>
      </c>
      <c r="U10" s="183">
        <f>_xlfn.IFNA(IF(VLOOKUP(R10,Workings!$F$6:$I$15,4,FALSE)&lt;=11%,((D32*100.06%)+E32)*(11%-(VLOOKUP(R10,Workings!$F$6:$I$15,4,FALSE))),0),0)</f>
        <v>0</v>
      </c>
      <c r="V10" s="155"/>
    </row>
    <row r="11" spans="1:22" ht="22.5" customHeight="1" thickBot="1" x14ac:dyDescent="0.3">
      <c r="A11" s="153"/>
      <c r="B11" s="180"/>
      <c r="C11" s="329"/>
      <c r="D11" s="329"/>
      <c r="E11" s="329"/>
      <c r="F11" s="329"/>
      <c r="G11" s="329"/>
      <c r="H11" s="329"/>
      <c r="I11" s="329"/>
      <c r="J11" s="329"/>
      <c r="K11" s="329"/>
      <c r="L11" s="329"/>
      <c r="M11" s="329"/>
      <c r="N11" s="329"/>
      <c r="O11" s="329"/>
      <c r="P11" s="58"/>
      <c r="Q11" s="329"/>
      <c r="R11" s="160"/>
      <c r="S11" s="162" t="e">
        <f>SUM(S7:S10)</f>
        <v>#DIV/0!</v>
      </c>
      <c r="T11" s="162">
        <f>SUM(T7:T10)</f>
        <v>0</v>
      </c>
      <c r="U11" s="184">
        <f>SUM(U7:U10)</f>
        <v>0</v>
      </c>
      <c r="V11" s="155"/>
    </row>
    <row r="12" spans="1:22" ht="22.5" customHeight="1" x14ac:dyDescent="0.25">
      <c r="A12" s="153"/>
      <c r="B12" s="180"/>
      <c r="C12" s="411" t="s">
        <v>9</v>
      </c>
      <c r="D12" s="412"/>
      <c r="E12" s="329"/>
      <c r="F12" s="329"/>
      <c r="G12" s="332"/>
      <c r="H12" s="329"/>
      <c r="I12" s="329"/>
      <c r="J12" s="329"/>
      <c r="K12" s="329"/>
      <c r="L12" s="329"/>
      <c r="M12" s="329"/>
      <c r="N12" s="329"/>
      <c r="O12" s="329"/>
      <c r="P12" s="329"/>
      <c r="Q12" s="329"/>
      <c r="R12" s="329"/>
      <c r="S12" s="329"/>
      <c r="T12" s="329"/>
      <c r="U12" s="181"/>
      <c r="V12" s="155"/>
    </row>
    <row r="13" spans="1:22" ht="15.75" x14ac:dyDescent="0.25">
      <c r="A13" s="153"/>
      <c r="B13" s="180"/>
      <c r="C13" s="48" t="s">
        <v>10</v>
      </c>
      <c r="D13" s="163"/>
      <c r="E13" s="329"/>
      <c r="F13" s="329"/>
      <c r="G13" s="332"/>
      <c r="H13" s="333"/>
      <c r="I13" s="333"/>
      <c r="J13" s="333"/>
      <c r="K13" s="329"/>
      <c r="L13" s="329"/>
      <c r="M13" s="329"/>
      <c r="N13" s="329"/>
      <c r="O13" s="329"/>
      <c r="P13" s="329"/>
      <c r="Q13" s="329"/>
      <c r="R13" s="329"/>
      <c r="S13" s="329"/>
      <c r="T13" s="329"/>
      <c r="U13" s="181"/>
      <c r="V13" s="155"/>
    </row>
    <row r="14" spans="1:22" ht="16.5" thickBot="1" x14ac:dyDescent="0.3">
      <c r="A14" s="153"/>
      <c r="B14" s="180"/>
      <c r="C14" s="38" t="s">
        <v>16</v>
      </c>
      <c r="D14" s="164"/>
      <c r="E14" s="329"/>
      <c r="F14" s="329"/>
      <c r="G14" s="334"/>
      <c r="H14" s="335"/>
      <c r="I14" s="335"/>
      <c r="J14" s="335"/>
      <c r="K14" s="329"/>
      <c r="L14" s="329"/>
      <c r="M14" s="329"/>
      <c r="N14" s="329"/>
      <c r="O14" s="329"/>
      <c r="P14" s="329"/>
      <c r="Q14" s="329"/>
      <c r="R14" s="329"/>
      <c r="S14" s="329"/>
      <c r="T14" s="329"/>
      <c r="U14" s="181"/>
      <c r="V14" s="155"/>
    </row>
    <row r="15" spans="1:22" ht="15.75" x14ac:dyDescent="0.25">
      <c r="A15" s="153"/>
      <c r="B15" s="180"/>
      <c r="C15" s="48" t="s">
        <v>17</v>
      </c>
      <c r="D15" s="163"/>
      <c r="G15" s="17" t="s">
        <v>73</v>
      </c>
      <c r="H15" s="18"/>
      <c r="I15" s="18"/>
      <c r="J15" s="18"/>
      <c r="K15" s="19"/>
      <c r="L15" s="329"/>
      <c r="M15" s="329"/>
      <c r="N15" s="329"/>
      <c r="O15" s="329"/>
      <c r="P15" s="329"/>
      <c r="Q15" s="329"/>
      <c r="R15" s="329"/>
      <c r="S15" s="329"/>
      <c r="T15" s="329"/>
      <c r="U15" s="181"/>
      <c r="V15" s="155"/>
    </row>
    <row r="16" spans="1:22" ht="18.75" customHeight="1" x14ac:dyDescent="0.25">
      <c r="A16" s="153"/>
      <c r="B16" s="180"/>
      <c r="C16" s="38" t="s">
        <v>18</v>
      </c>
      <c r="D16" s="164"/>
      <c r="E16" s="329"/>
      <c r="F16" s="329"/>
      <c r="G16" s="405" t="s">
        <v>76</v>
      </c>
      <c r="H16" s="406"/>
      <c r="I16" s="406"/>
      <c r="J16" s="406"/>
      <c r="K16" s="407"/>
      <c r="L16" s="329"/>
      <c r="M16" s="329"/>
      <c r="N16" s="329"/>
      <c r="O16" s="329"/>
      <c r="P16" s="329"/>
      <c r="Q16" s="329"/>
      <c r="R16" s="329"/>
      <c r="S16" s="329"/>
      <c r="T16" s="329"/>
      <c r="U16" s="181"/>
      <c r="V16" s="155"/>
    </row>
    <row r="17" spans="1:22" ht="18.75" customHeight="1" x14ac:dyDescent="0.25">
      <c r="A17" s="153"/>
      <c r="B17" s="180"/>
      <c r="C17" s="48" t="s">
        <v>39</v>
      </c>
      <c r="D17" s="163"/>
      <c r="E17" s="329"/>
      <c r="F17" s="329"/>
      <c r="G17" s="405" t="s">
        <v>285</v>
      </c>
      <c r="H17" s="406"/>
      <c r="I17" s="406"/>
      <c r="J17" s="406"/>
      <c r="K17" s="407"/>
      <c r="L17" s="329"/>
      <c r="M17" s="329"/>
      <c r="N17" s="329"/>
      <c r="O17" s="329"/>
      <c r="P17" s="329"/>
      <c r="Q17" s="329"/>
      <c r="R17" s="329"/>
      <c r="S17" s="329"/>
      <c r="T17" s="329"/>
      <c r="U17" s="181"/>
      <c r="V17" s="155"/>
    </row>
    <row r="18" spans="1:22" ht="18.75" customHeight="1" x14ac:dyDescent="0.25">
      <c r="A18" s="153"/>
      <c r="B18" s="180"/>
      <c r="C18" s="38" t="s">
        <v>40</v>
      </c>
      <c r="D18" s="164"/>
      <c r="E18" s="329"/>
      <c r="F18" s="329"/>
      <c r="G18" s="405"/>
      <c r="H18" s="406"/>
      <c r="I18" s="406"/>
      <c r="J18" s="406"/>
      <c r="K18" s="407"/>
      <c r="L18" s="329"/>
      <c r="M18" s="329"/>
      <c r="N18" s="329"/>
      <c r="O18" s="329"/>
      <c r="P18" s="329"/>
      <c r="Q18" s="329"/>
      <c r="R18" s="329"/>
      <c r="S18" s="329"/>
      <c r="T18" s="329"/>
      <c r="U18" s="181"/>
      <c r="V18" s="155"/>
    </row>
    <row r="19" spans="1:22" ht="18.75" customHeight="1" thickBot="1" x14ac:dyDescent="0.3">
      <c r="A19" s="153"/>
      <c r="B19" s="180"/>
      <c r="C19" s="48" t="s">
        <v>41</v>
      </c>
      <c r="D19" s="165"/>
      <c r="E19" s="329"/>
      <c r="F19" s="329"/>
      <c r="G19" s="408" t="s">
        <v>85</v>
      </c>
      <c r="H19" s="409"/>
      <c r="I19" s="409"/>
      <c r="J19" s="409"/>
      <c r="K19" s="410"/>
      <c r="L19" s="329"/>
      <c r="M19" s="329"/>
      <c r="N19" s="329"/>
      <c r="O19" s="329"/>
      <c r="P19" s="329"/>
      <c r="Q19" s="329"/>
      <c r="R19" s="329"/>
      <c r="S19" s="329"/>
      <c r="T19" s="329"/>
      <c r="U19" s="181"/>
      <c r="V19" s="155"/>
    </row>
    <row r="20" spans="1:22" ht="18.75" customHeight="1" x14ac:dyDescent="0.25">
      <c r="A20" s="153"/>
      <c r="B20" s="180"/>
      <c r="C20" s="38" t="s">
        <v>21</v>
      </c>
      <c r="D20" s="166">
        <v>0.4</v>
      </c>
      <c r="E20" s="329"/>
      <c r="F20" s="329"/>
      <c r="G20" s="336"/>
      <c r="H20" s="336"/>
      <c r="I20" s="336"/>
      <c r="J20" s="336"/>
      <c r="K20" s="336"/>
      <c r="L20" s="329"/>
      <c r="M20" s="329"/>
      <c r="N20" s="329"/>
      <c r="O20" s="329"/>
      <c r="P20" s="329"/>
      <c r="Q20" s="329"/>
      <c r="R20" s="329"/>
      <c r="S20" s="329"/>
      <c r="T20" s="329"/>
      <c r="U20" s="181"/>
      <c r="V20" s="155"/>
    </row>
    <row r="21" spans="1:22" ht="15.75" x14ac:dyDescent="0.25">
      <c r="A21" s="153"/>
      <c r="B21" s="180"/>
      <c r="C21" s="48" t="s">
        <v>82</v>
      </c>
      <c r="D21" s="163"/>
      <c r="E21" s="329"/>
      <c r="F21" s="329"/>
      <c r="G21" s="336"/>
      <c r="H21" s="336"/>
      <c r="I21" s="336"/>
      <c r="J21" s="336"/>
      <c r="K21" s="336"/>
      <c r="L21" s="329"/>
      <c r="M21" s="329"/>
      <c r="N21" s="329"/>
      <c r="O21" s="329"/>
      <c r="P21" s="329"/>
      <c r="Q21" s="329"/>
      <c r="R21" s="329"/>
      <c r="S21" s="329"/>
      <c r="T21" s="329"/>
      <c r="U21" s="181"/>
      <c r="V21" s="155"/>
    </row>
    <row r="22" spans="1:22" ht="15.75" x14ac:dyDescent="0.25">
      <c r="A22" s="153"/>
      <c r="B22" s="180"/>
      <c r="C22" s="38" t="s">
        <v>24</v>
      </c>
      <c r="D22" s="167"/>
      <c r="E22" s="329"/>
      <c r="F22" s="329"/>
      <c r="G22" s="329"/>
      <c r="H22" s="329"/>
      <c r="I22" s="329"/>
      <c r="J22" s="329"/>
      <c r="K22" s="329"/>
      <c r="L22" s="329"/>
      <c r="M22" s="329"/>
      <c r="N22" s="329"/>
      <c r="O22" s="329"/>
      <c r="P22" s="329"/>
      <c r="Q22" s="329"/>
      <c r="R22" s="329"/>
      <c r="S22" s="329"/>
      <c r="T22" s="329"/>
      <c r="U22" s="181"/>
      <c r="V22" s="155"/>
    </row>
    <row r="23" spans="1:22" ht="16.5" thickBot="1" x14ac:dyDescent="0.3">
      <c r="A23" s="153"/>
      <c r="B23" s="180"/>
      <c r="C23" s="168" t="s">
        <v>72</v>
      </c>
      <c r="D23" s="169">
        <f>(H7*J7)+(H8*J8)+(H9*J9)+(H10*J10)</f>
        <v>0</v>
      </c>
      <c r="E23" s="329"/>
      <c r="F23" s="329"/>
      <c r="G23" s="329"/>
      <c r="H23" s="329"/>
      <c r="I23" s="329"/>
      <c r="J23" s="329"/>
      <c r="K23" s="329"/>
      <c r="L23" s="329"/>
      <c r="M23" s="329"/>
      <c r="N23" s="329"/>
      <c r="O23" s="329"/>
      <c r="P23" s="329"/>
      <c r="Q23" s="329"/>
      <c r="R23" s="329"/>
      <c r="S23" s="329"/>
      <c r="T23" s="329"/>
      <c r="U23" s="181"/>
      <c r="V23" s="155"/>
    </row>
    <row r="24" spans="1:22" ht="18.75" x14ac:dyDescent="0.3">
      <c r="A24" s="153"/>
      <c r="B24" s="180"/>
      <c r="C24" s="337"/>
      <c r="D24" s="338"/>
      <c r="E24" s="329"/>
      <c r="F24" s="329"/>
      <c r="G24" s="329"/>
      <c r="H24" s="329"/>
      <c r="I24" s="329"/>
      <c r="J24" s="329"/>
      <c r="K24" s="329"/>
      <c r="L24" s="329"/>
      <c r="M24" s="329"/>
      <c r="N24" s="329"/>
      <c r="O24" s="329"/>
      <c r="P24" s="329"/>
      <c r="Q24" s="329"/>
      <c r="R24" s="329"/>
      <c r="S24" s="329"/>
      <c r="T24" s="329"/>
      <c r="U24" s="181"/>
      <c r="V24" s="155"/>
    </row>
    <row r="25" spans="1:22" ht="15.75" thickBot="1" x14ac:dyDescent="0.3">
      <c r="A25" s="153"/>
      <c r="B25" s="180"/>
      <c r="C25" s="329"/>
      <c r="D25" s="329"/>
      <c r="E25" s="329"/>
      <c r="F25" s="329"/>
      <c r="G25" s="329"/>
      <c r="H25" s="329"/>
      <c r="I25" s="329"/>
      <c r="J25" s="329"/>
      <c r="K25" s="329"/>
      <c r="L25" s="329"/>
      <c r="M25" s="329"/>
      <c r="N25" s="329"/>
      <c r="O25" s="329"/>
      <c r="P25" s="329"/>
      <c r="Q25" s="329"/>
      <c r="R25" s="329"/>
      <c r="S25" s="329"/>
      <c r="T25" s="329"/>
      <c r="U25" s="181"/>
      <c r="V25" s="155"/>
    </row>
    <row r="26" spans="1:22" ht="37.5" customHeight="1" thickBot="1" x14ac:dyDescent="0.3">
      <c r="A26" s="153"/>
      <c r="B26" s="180"/>
      <c r="C26" s="202" t="s">
        <v>25</v>
      </c>
      <c r="D26" s="329"/>
      <c r="E26" s="329"/>
      <c r="F26" s="329"/>
      <c r="G26" s="329"/>
      <c r="H26" s="329"/>
      <c r="I26" s="329"/>
      <c r="J26" s="329"/>
      <c r="K26" s="329"/>
      <c r="L26" s="329"/>
      <c r="M26" s="329"/>
      <c r="N26" s="329"/>
      <c r="O26" s="329"/>
      <c r="P26" s="329"/>
      <c r="Q26" s="329"/>
      <c r="R26" s="329"/>
      <c r="S26" s="329"/>
      <c r="T26" s="329"/>
      <c r="U26" s="181"/>
      <c r="V26" s="155"/>
    </row>
    <row r="27" spans="1:22" ht="15.75" thickBot="1" x14ac:dyDescent="0.3">
      <c r="A27" s="153"/>
      <c r="B27" s="180"/>
      <c r="C27" s="329"/>
      <c r="D27" s="329"/>
      <c r="E27" s="329"/>
      <c r="F27" s="329"/>
      <c r="G27" s="329"/>
      <c r="H27" s="329"/>
      <c r="I27" s="329"/>
      <c r="J27" s="329"/>
      <c r="K27" s="329"/>
      <c r="L27" s="329"/>
      <c r="M27" s="329"/>
      <c r="N27" s="329"/>
      <c r="O27" s="329"/>
      <c r="P27" s="329"/>
      <c r="Q27" s="329"/>
      <c r="R27" s="329"/>
      <c r="S27" s="329"/>
      <c r="T27" s="329"/>
      <c r="U27" s="181"/>
      <c r="V27" s="155"/>
    </row>
    <row r="28" spans="1:22" s="1" customFormat="1" ht="47.25" x14ac:dyDescent="0.25">
      <c r="A28" s="154"/>
      <c r="B28" s="185"/>
      <c r="C28" s="190" t="s">
        <v>26</v>
      </c>
      <c r="D28" s="191" t="s">
        <v>28</v>
      </c>
      <c r="E28" s="191" t="s">
        <v>29</v>
      </c>
      <c r="F28" s="191" t="s">
        <v>30</v>
      </c>
      <c r="G28" s="192" t="s">
        <v>32</v>
      </c>
      <c r="H28" s="191" t="s">
        <v>33</v>
      </c>
      <c r="I28" s="191" t="s">
        <v>31</v>
      </c>
      <c r="J28" s="191" t="s">
        <v>17</v>
      </c>
      <c r="K28" s="192" t="s">
        <v>59</v>
      </c>
      <c r="L28" s="191" t="s">
        <v>34</v>
      </c>
      <c r="M28" s="191" t="s">
        <v>35</v>
      </c>
      <c r="N28" s="191" t="s">
        <v>37</v>
      </c>
      <c r="O28" s="191" t="s">
        <v>36</v>
      </c>
      <c r="P28" s="193" t="s">
        <v>66</v>
      </c>
      <c r="Q28" s="339"/>
      <c r="R28" s="339"/>
      <c r="S28" s="339"/>
      <c r="T28" s="339"/>
      <c r="U28" s="186"/>
      <c r="V28" s="156"/>
    </row>
    <row r="29" spans="1:22" s="1" customFormat="1" ht="30" customHeight="1" x14ac:dyDescent="0.25">
      <c r="A29" s="154"/>
      <c r="B29" s="185"/>
      <c r="C29" s="194">
        <f>C7</f>
        <v>0</v>
      </c>
      <c r="D29" s="42" t="e">
        <f>(((J7*H7)/1000)*I7)/$D$21</f>
        <v>#DIV/0!</v>
      </c>
      <c r="E29" s="42">
        <f>IFERROR(IF($D$16="FOB",(($D$22/$D$21)/$D$23)*(H7*J7),0),0)</f>
        <v>0</v>
      </c>
      <c r="F29" s="42">
        <f>IFERROR(IF($D$13="Full Duty",T7,S7),0)</f>
        <v>0</v>
      </c>
      <c r="G29" s="42">
        <f>IFERROR((((_xlfn.IFNA(VLOOKUP($D$17,Workings!$N$6:$P$9,2,FALSE),0))+(IF(OR($D$17="AGT",$D$17="Seafrigo"),(VLOOKUP($D$18,Workings!$B$13:$E$19,4,FALSE)),0))+(($D$23/1000)*10.29)+((((($G$7*$J$7)+($G$8*$J$8)+($G$9+$J$9)+($G$10*$J$10))*0.5)/1000)*10.29))/$D$23)*(H7*J7),0)</f>
        <v>0</v>
      </c>
      <c r="H29" s="42">
        <f>IFERROR((($D$19/$D$23)*(H7*J7)),0)</f>
        <v>0</v>
      </c>
      <c r="I29" s="42">
        <f>IF(AND($D$13="Licence",F7&lt;&gt;"veg",F7&lt;&gt;"Spring Roll &amp; Samosa",F7&lt;&gt;"Onion Bhajis"),($D$20*(H7*J7)),0)</f>
        <v>0</v>
      </c>
      <c r="J29" s="42">
        <f>IFERROR(IF($D$15="Yes",(((8.95+1.95+7.95)*33)/$D$23)*(H7*J7),0),0)</f>
        <v>0</v>
      </c>
      <c r="K29" s="42">
        <f>IFERROR(IF($D$14="No",((475+150+770)/$D$23)*(H7*J7),0),0)</f>
        <v>0</v>
      </c>
      <c r="L29" s="42">
        <f>IFERROR(IF($D$14="Yes",0,IF($D$13="Full Duty",0,($U$11/$D$23)*(H7*J7))),0)</f>
        <v>0</v>
      </c>
      <c r="M29" s="42" t="e">
        <f>D29+E29+F29+G29+H29+I29+J29+K29+L29</f>
        <v>#DIV/0!</v>
      </c>
      <c r="N29" s="42">
        <f>IFERROR(M29/J7,0)</f>
        <v>0</v>
      </c>
      <c r="O29" s="42">
        <f>IFERROR(M29/(H7*J7),0)</f>
        <v>0</v>
      </c>
      <c r="P29" s="195">
        <f>IFERROR((P7-N29)/P7,0)</f>
        <v>0</v>
      </c>
      <c r="Q29" s="339"/>
      <c r="R29" s="339"/>
      <c r="S29" s="339"/>
      <c r="T29" s="339"/>
      <c r="U29" s="186"/>
      <c r="V29" s="156"/>
    </row>
    <row r="30" spans="1:22" s="1" customFormat="1" ht="30" customHeight="1" x14ac:dyDescent="0.25">
      <c r="A30" s="154"/>
      <c r="B30" s="185"/>
      <c r="C30" s="196">
        <f t="shared" ref="C30:C32" si="0">C8</f>
        <v>0</v>
      </c>
      <c r="D30" s="64" t="e">
        <f>(((J8*H8)/1000)*I8)/$D$21</f>
        <v>#DIV/0!</v>
      </c>
      <c r="E30" s="64">
        <f>IFERROR(IF($D$16="FOB",(($D$22/$D$21)/$D$23)*(H8*J8),0),0)</f>
        <v>0</v>
      </c>
      <c r="F30" s="64">
        <f>IFERROR(IF($D$13="Full Duty",T8,S8),0)</f>
        <v>0</v>
      </c>
      <c r="G30" s="64">
        <f>IFERROR((((_xlfn.IFNA(VLOOKUP($D$17,Workings!$N$6:$P$9,2,FALSE),0))+(IF(OR($D$17="AGT",$D$17="Seafrigo"),(VLOOKUP($D$18,Workings!$B$13:$E$19,4,FALSE)),0))+(($D$23/1000)*10.29)+((((($G$7*$J$7)+($G$8*$J$8)+($G$9+$J$9)+($G$10*$J$10))*0.5)/1000)*10.29))/$D$23)*(H8*J8),0)</f>
        <v>0</v>
      </c>
      <c r="H30" s="64">
        <f t="shared" ref="H30:H32" si="1">IFERROR((($D$19/$D$23)*(H8*J8)),0)</f>
        <v>0</v>
      </c>
      <c r="I30" s="64">
        <f>IF(AND($D$13="Licence",F8&lt;&gt;"veg",F8&lt;&gt;"Spring Roll &amp; Samosa",F8&lt;&gt;"Onion Bhajis"),($D$20*(H8*J8)),0)</f>
        <v>0</v>
      </c>
      <c r="J30" s="64">
        <f t="shared" ref="J30:J32" si="2">IFERROR(IF($D$15="Yes",(((8.95+1.95+7.95)*33)/$D$23)*(H8*J8),0),0)</f>
        <v>0</v>
      </c>
      <c r="K30" s="64">
        <f t="shared" ref="K30:K32" si="3">IFERROR(IF($D$14="No",((475+150+770)/$D$23)*(H8*J8),0),0)</f>
        <v>0</v>
      </c>
      <c r="L30" s="64">
        <f>IFERROR(IF($D$14="Yes",0,IF($D$13="Full Duty",0,($U$11/$D$23)*(H8*J8))),0)</f>
        <v>0</v>
      </c>
      <c r="M30" s="64" t="e">
        <f>D30+E30+F30+G30+H30+I30+J30+K30+L30</f>
        <v>#DIV/0!</v>
      </c>
      <c r="N30" s="64">
        <f>IFERROR(M30/J8,0)</f>
        <v>0</v>
      </c>
      <c r="O30" s="64">
        <f>IFERROR(M30/(H8*J8),0)</f>
        <v>0</v>
      </c>
      <c r="P30" s="197">
        <f>IFERROR((P8-N30)/P8,0)</f>
        <v>0</v>
      </c>
      <c r="Q30" s="339"/>
      <c r="R30" s="339"/>
      <c r="S30" s="339"/>
      <c r="T30" s="339"/>
      <c r="U30" s="186"/>
      <c r="V30" s="156"/>
    </row>
    <row r="31" spans="1:22" s="1" customFormat="1" ht="30" customHeight="1" x14ac:dyDescent="0.25">
      <c r="A31" s="154"/>
      <c r="B31" s="185"/>
      <c r="C31" s="194">
        <f t="shared" si="0"/>
        <v>0</v>
      </c>
      <c r="D31" s="42" t="e">
        <f>(((J9*H9)/1000)*I9)/$D$21</f>
        <v>#DIV/0!</v>
      </c>
      <c r="E31" s="42">
        <f>IFERROR(IF($D$16="FOB",(($D$22/$D$21)/$D$23)*(H9*J9),0),0)</f>
        <v>0</v>
      </c>
      <c r="F31" s="42">
        <f>IFERROR(IF($D$13="Full Duty",T9,S9),0)</f>
        <v>0</v>
      </c>
      <c r="G31" s="42">
        <f>IFERROR((((_xlfn.IFNA(VLOOKUP($D$17,Workings!$N$6:$P$9,2,FALSE),0))+(IF(OR($D$17="AGT",$D$17="Seafrigo"),(VLOOKUP($D$18,Workings!$B$13:$E$19,4,FALSE)),0))+(($D$23/1000)*10.29)+((((($G$7*$J$7)+($G$8*$J$8)+($G$9+$J$9)+($G$10*$J$10))*0.5)/1000)*10.29))/$D$23)*(H9*J9),0)</f>
        <v>0</v>
      </c>
      <c r="H31" s="42">
        <f t="shared" si="1"/>
        <v>0</v>
      </c>
      <c r="I31" s="42">
        <f>IF(AND($D$13="Licence",F9&lt;&gt;"veg",F9&lt;&gt;"Spring Roll &amp; Samosa",F9&lt;&gt;"Onion Bhajis"),($D$20*(H9*J9)),0)</f>
        <v>0</v>
      </c>
      <c r="J31" s="42">
        <f t="shared" si="2"/>
        <v>0</v>
      </c>
      <c r="K31" s="42">
        <f t="shared" si="3"/>
        <v>0</v>
      </c>
      <c r="L31" s="42">
        <f>IFERROR(IF($D$14="Yes",0,IF($D$13="Full Duty",0,($U$11/$D$23)*(H9*J9))),0)</f>
        <v>0</v>
      </c>
      <c r="M31" s="42" t="e">
        <f>D31+E31+F31+G31+H31+I31+J31+K31+L31</f>
        <v>#DIV/0!</v>
      </c>
      <c r="N31" s="42">
        <f>IFERROR(M31/J9,0)</f>
        <v>0</v>
      </c>
      <c r="O31" s="42">
        <f>IFERROR(M31/(H9*J9),0)</f>
        <v>0</v>
      </c>
      <c r="P31" s="195">
        <f>IFERROR((P9-N31)/P9,0)</f>
        <v>0</v>
      </c>
      <c r="Q31" s="339"/>
      <c r="R31" s="339"/>
      <c r="S31" s="339"/>
      <c r="T31" s="339"/>
      <c r="U31" s="186"/>
      <c r="V31" s="156"/>
    </row>
    <row r="32" spans="1:22" s="1" customFormat="1" ht="30" customHeight="1" x14ac:dyDescent="0.25">
      <c r="A32" s="154"/>
      <c r="B32" s="185"/>
      <c r="C32" s="196">
        <f t="shared" si="0"/>
        <v>0</v>
      </c>
      <c r="D32" s="64" t="e">
        <f>(((J10*H10)/1000)*I10)/$D$21</f>
        <v>#DIV/0!</v>
      </c>
      <c r="E32" s="64">
        <f>IFERROR(IF($D$16="FOB",(($D$22/$D$21)/$D$23)*(H10*J10),0),0)</f>
        <v>0</v>
      </c>
      <c r="F32" s="64">
        <f>IFERROR(IF($D$13="Full Duty",T10,S10),0)</f>
        <v>0</v>
      </c>
      <c r="G32" s="64">
        <f>IFERROR((((_xlfn.IFNA(VLOOKUP($D$17,Workings!$N$6:$P$9,2,FALSE),0))+(IF(OR($D$17="AGT",$D$17="Seafrigo"),(VLOOKUP($D$18,Workings!$B$13:$E$19,4,FALSE)),0))+(($D$23/1000)*10.29)+((((($G$7*$J$7)+($G$8*$J$8)+($G$9+$J$9)+($G$10*$J$10))*0.5)/1000)*10.29))/$D$23)*(H10*J10),0)</f>
        <v>0</v>
      </c>
      <c r="H32" s="64">
        <f t="shared" si="1"/>
        <v>0</v>
      </c>
      <c r="I32" s="64">
        <f>IF(AND($D$13="Licence",F10&lt;&gt;"veg"),($D$20*(H10*J10)),0)</f>
        <v>0</v>
      </c>
      <c r="J32" s="64">
        <f t="shared" si="2"/>
        <v>0</v>
      </c>
      <c r="K32" s="64">
        <f t="shared" si="3"/>
        <v>0</v>
      </c>
      <c r="L32" s="64">
        <f>IFERROR(IF($D$14="Yes",0,IF($D$13="Full Duty",0,($U$11/$D$23)*(H10*J10))),0)</f>
        <v>0</v>
      </c>
      <c r="M32" s="64" t="e">
        <f>D32+E32+F32+G32+H32+I32+J32+K32+L32</f>
        <v>#DIV/0!</v>
      </c>
      <c r="N32" s="64">
        <f>IFERROR(M32/J10,0)</f>
        <v>0</v>
      </c>
      <c r="O32" s="64">
        <f>IFERROR(M32/(H10*J10),0)</f>
        <v>0</v>
      </c>
      <c r="P32" s="197">
        <f>IFERROR((P10-N32)/P10,0)</f>
        <v>0</v>
      </c>
      <c r="Q32" s="339"/>
      <c r="R32" s="339"/>
      <c r="S32" s="339"/>
      <c r="T32" s="339"/>
      <c r="U32" s="186"/>
      <c r="V32" s="156"/>
    </row>
    <row r="33" spans="1:22" s="1" customFormat="1" ht="30" customHeight="1" thickBot="1" x14ac:dyDescent="0.3">
      <c r="A33" s="154"/>
      <c r="B33" s="185"/>
      <c r="C33" s="220" t="s">
        <v>70</v>
      </c>
      <c r="D33" s="221" t="e">
        <f>SUM(D29:D32)</f>
        <v>#DIV/0!</v>
      </c>
      <c r="E33" s="221">
        <f t="shared" ref="E33:M33" si="4">SUM(E29:E32)</f>
        <v>0</v>
      </c>
      <c r="F33" s="221">
        <f t="shared" si="4"/>
        <v>0</v>
      </c>
      <c r="G33" s="221">
        <f t="shared" si="4"/>
        <v>0</v>
      </c>
      <c r="H33" s="221">
        <f t="shared" si="4"/>
        <v>0</v>
      </c>
      <c r="I33" s="221">
        <f t="shared" si="4"/>
        <v>0</v>
      </c>
      <c r="J33" s="221">
        <f t="shared" si="4"/>
        <v>0</v>
      </c>
      <c r="K33" s="221">
        <f t="shared" si="4"/>
        <v>0</v>
      </c>
      <c r="L33" s="221">
        <f t="shared" si="4"/>
        <v>0</v>
      </c>
      <c r="M33" s="221" t="e">
        <f t="shared" si="4"/>
        <v>#DIV/0!</v>
      </c>
      <c r="N33" s="222"/>
      <c r="O33" s="222"/>
      <c r="P33" s="223"/>
      <c r="Q33" s="339"/>
      <c r="R33" s="339"/>
      <c r="S33" s="339"/>
      <c r="T33" s="339"/>
      <c r="U33" s="186"/>
      <c r="V33" s="156"/>
    </row>
    <row r="34" spans="1:22" x14ac:dyDescent="0.25">
      <c r="A34" s="153"/>
      <c r="B34" s="180"/>
      <c r="C34" s="329"/>
      <c r="D34" s="329"/>
      <c r="E34" s="329"/>
      <c r="F34" s="329"/>
      <c r="G34" s="329"/>
      <c r="H34" s="329"/>
      <c r="I34" s="329"/>
      <c r="J34" s="329"/>
      <c r="K34" s="329"/>
      <c r="L34" s="329"/>
      <c r="M34" s="329"/>
      <c r="N34" s="329"/>
      <c r="O34" s="329"/>
      <c r="P34" s="329"/>
      <c r="Q34" s="329"/>
      <c r="R34" s="329"/>
      <c r="S34" s="329"/>
      <c r="T34" s="329"/>
      <c r="U34" s="181"/>
      <c r="V34" s="155"/>
    </row>
    <row r="35" spans="1:22" ht="15.75" thickBot="1" x14ac:dyDescent="0.3">
      <c r="A35" s="153"/>
      <c r="B35" s="180"/>
      <c r="C35" s="329"/>
      <c r="D35" s="329"/>
      <c r="E35" s="329"/>
      <c r="F35" s="329"/>
      <c r="G35" s="329"/>
      <c r="H35" s="329"/>
      <c r="I35" s="329"/>
      <c r="J35" s="329"/>
      <c r="K35" s="329"/>
      <c r="L35" s="329"/>
      <c r="M35" s="329"/>
      <c r="N35" s="329"/>
      <c r="O35" s="329"/>
      <c r="P35" s="329"/>
      <c r="Q35" s="329"/>
      <c r="R35" s="329"/>
      <c r="S35" s="329"/>
      <c r="T35" s="329"/>
      <c r="U35" s="181"/>
      <c r="V35" s="155"/>
    </row>
    <row r="36" spans="1:22" ht="15.75" thickBot="1" x14ac:dyDescent="0.3">
      <c r="A36" s="153"/>
      <c r="B36" s="180"/>
      <c r="C36" s="12" t="s">
        <v>88</v>
      </c>
      <c r="D36" s="329"/>
      <c r="E36" s="329"/>
      <c r="F36" s="329"/>
      <c r="G36" s="329"/>
      <c r="H36" s="329"/>
      <c r="I36" s="329"/>
      <c r="J36" s="329"/>
      <c r="K36" s="329"/>
      <c r="L36" s="329"/>
      <c r="M36" s="329"/>
      <c r="N36" s="329"/>
      <c r="O36" s="329"/>
      <c r="P36" s="329"/>
      <c r="Q36" s="329"/>
      <c r="R36" s="329"/>
      <c r="S36" s="329"/>
      <c r="T36" s="329"/>
      <c r="U36" s="181"/>
      <c r="V36" s="155"/>
    </row>
    <row r="37" spans="1:22" ht="15.75" thickBot="1" x14ac:dyDescent="0.3">
      <c r="A37" s="153"/>
      <c r="B37" s="180"/>
      <c r="C37" s="180"/>
      <c r="D37" s="329"/>
      <c r="E37" s="329"/>
      <c r="F37" s="329"/>
      <c r="G37" s="329"/>
      <c r="H37" s="329"/>
      <c r="I37" s="329"/>
      <c r="J37" s="329"/>
      <c r="K37" s="329"/>
      <c r="L37" s="329"/>
      <c r="M37" s="329"/>
      <c r="N37" s="329"/>
      <c r="O37" s="329"/>
      <c r="P37" s="329"/>
      <c r="Q37" s="329"/>
      <c r="R37" s="329"/>
      <c r="S37" s="329"/>
      <c r="T37" s="329"/>
      <c r="U37" s="181"/>
      <c r="V37" s="155"/>
    </row>
    <row r="38" spans="1:22" ht="15.75" thickBot="1" x14ac:dyDescent="0.3">
      <c r="A38" s="153"/>
      <c r="B38" s="180"/>
      <c r="C38" s="13" t="s">
        <v>56</v>
      </c>
      <c r="D38" s="14"/>
      <c r="E38" s="329"/>
      <c r="F38" s="329"/>
      <c r="G38" s="329"/>
      <c r="H38" s="329"/>
      <c r="I38" s="329"/>
      <c r="J38" s="329"/>
      <c r="K38" s="329"/>
      <c r="L38" s="329"/>
      <c r="M38" s="329"/>
      <c r="N38" s="329"/>
      <c r="O38" s="329"/>
      <c r="P38" s="329"/>
      <c r="Q38" s="329"/>
      <c r="R38" s="329"/>
      <c r="S38" s="329"/>
      <c r="T38" s="329"/>
      <c r="U38" s="181"/>
      <c r="V38" s="155"/>
    </row>
    <row r="39" spans="1:22" ht="15.75" thickBot="1" x14ac:dyDescent="0.3">
      <c r="A39" s="153"/>
      <c r="B39" s="180"/>
      <c r="C39" s="180"/>
      <c r="D39" s="340" t="s">
        <v>91</v>
      </c>
      <c r="E39" s="329"/>
      <c r="F39" s="329"/>
      <c r="G39" s="329"/>
      <c r="H39" s="329"/>
      <c r="I39" s="329"/>
      <c r="J39" s="329"/>
      <c r="K39" s="329"/>
      <c r="L39" s="329"/>
      <c r="M39" s="329"/>
      <c r="N39" s="329"/>
      <c r="O39" s="329"/>
      <c r="P39" s="329"/>
      <c r="Q39" s="329"/>
      <c r="R39" s="329"/>
      <c r="S39" s="329"/>
      <c r="T39" s="329"/>
      <c r="U39" s="181"/>
      <c r="V39" s="155"/>
    </row>
    <row r="40" spans="1:22" x14ac:dyDescent="0.25">
      <c r="A40" s="153"/>
      <c r="B40" s="180"/>
      <c r="C40" s="8" t="s">
        <v>89</v>
      </c>
      <c r="D40" s="11">
        <v>2200</v>
      </c>
      <c r="E40" s="329"/>
      <c r="F40" s="329"/>
      <c r="G40" s="329"/>
      <c r="H40" s="329"/>
      <c r="I40" s="329"/>
      <c r="J40" s="329"/>
      <c r="K40" s="329"/>
      <c r="L40" s="329"/>
      <c r="M40" s="329"/>
      <c r="N40" s="329"/>
      <c r="O40" s="329"/>
      <c r="P40" s="329"/>
      <c r="Q40" s="329"/>
      <c r="R40" s="329"/>
      <c r="S40" s="329"/>
      <c r="T40" s="329"/>
      <c r="U40" s="181"/>
      <c r="V40" s="155"/>
    </row>
    <row r="41" spans="1:22" x14ac:dyDescent="0.25">
      <c r="A41" s="153"/>
      <c r="B41" s="180"/>
      <c r="C41" s="90" t="s">
        <v>316</v>
      </c>
      <c r="D41" s="241">
        <v>3450</v>
      </c>
      <c r="E41" s="329"/>
      <c r="F41" s="329"/>
      <c r="G41" s="329"/>
      <c r="H41" s="329"/>
      <c r="I41" s="329"/>
      <c r="J41" s="329"/>
      <c r="K41" s="329"/>
      <c r="L41" s="329"/>
      <c r="M41" s="329"/>
      <c r="N41" s="329"/>
      <c r="O41" s="329"/>
      <c r="P41" s="329"/>
      <c r="Q41" s="329"/>
      <c r="R41" s="329"/>
      <c r="S41" s="329"/>
      <c r="T41" s="329"/>
      <c r="U41" s="181"/>
      <c r="V41" s="155"/>
    </row>
    <row r="42" spans="1:22" ht="15.75" thickBot="1" x14ac:dyDescent="0.3">
      <c r="A42" s="153"/>
      <c r="B42" s="180"/>
      <c r="C42" s="87" t="s">
        <v>49</v>
      </c>
      <c r="D42" s="242">
        <v>3400</v>
      </c>
      <c r="E42" s="329"/>
      <c r="F42" s="329"/>
      <c r="G42" s="329"/>
      <c r="H42" s="329"/>
      <c r="I42" s="329"/>
      <c r="J42" s="329"/>
      <c r="K42" s="329"/>
      <c r="L42" s="329"/>
      <c r="M42" s="329"/>
      <c r="N42" s="329"/>
      <c r="O42" s="329"/>
      <c r="P42" s="329"/>
      <c r="Q42" s="329"/>
      <c r="R42" s="329"/>
      <c r="S42" s="329"/>
      <c r="T42" s="329"/>
      <c r="U42" s="181"/>
      <c r="V42" s="155"/>
    </row>
    <row r="43" spans="1:22" ht="15.75" thickBot="1" x14ac:dyDescent="0.3">
      <c r="A43" s="153"/>
      <c r="B43" s="180"/>
      <c r="C43" s="180"/>
      <c r="D43" s="329"/>
      <c r="E43" s="329"/>
      <c r="F43" s="329"/>
      <c r="G43" s="329"/>
      <c r="H43" s="329"/>
      <c r="I43" s="329"/>
      <c r="J43" s="329"/>
      <c r="K43" s="329"/>
      <c r="L43" s="329"/>
      <c r="M43" s="329"/>
      <c r="N43" s="329"/>
      <c r="O43" s="329"/>
      <c r="P43" s="329"/>
      <c r="Q43" s="329"/>
      <c r="R43" s="329"/>
      <c r="S43" s="329"/>
      <c r="T43" s="329"/>
      <c r="U43" s="181"/>
      <c r="V43" s="155"/>
    </row>
    <row r="44" spans="1:22" ht="15.75" thickBot="1" x14ac:dyDescent="0.3">
      <c r="A44" s="153"/>
      <c r="B44" s="180"/>
      <c r="C44" s="13" t="s">
        <v>33</v>
      </c>
      <c r="D44" s="288" t="s">
        <v>48</v>
      </c>
      <c r="E44" s="288" t="s">
        <v>47</v>
      </c>
      <c r="F44" s="329"/>
      <c r="G44" s="329"/>
      <c r="H44" s="329"/>
      <c r="I44" s="329"/>
      <c r="J44" s="329"/>
      <c r="K44" s="329"/>
      <c r="L44" s="329"/>
      <c r="M44" s="329"/>
      <c r="N44" s="329"/>
      <c r="O44" s="329"/>
      <c r="P44" s="329"/>
      <c r="Q44" s="329"/>
      <c r="R44" s="329"/>
      <c r="S44" s="329"/>
      <c r="T44" s="329"/>
      <c r="U44" s="181"/>
      <c r="V44" s="155"/>
    </row>
    <row r="45" spans="1:22" ht="15.75" thickBot="1" x14ac:dyDescent="0.3">
      <c r="A45" s="153"/>
      <c r="B45" s="180"/>
      <c r="C45" s="329"/>
      <c r="D45" s="344" t="s">
        <v>90</v>
      </c>
      <c r="E45" s="344" t="s">
        <v>90</v>
      </c>
      <c r="F45" s="329"/>
      <c r="G45" s="329"/>
      <c r="H45" s="329"/>
      <c r="I45" s="329"/>
      <c r="J45" s="329"/>
      <c r="K45" s="329"/>
      <c r="L45" s="329"/>
      <c r="M45" s="329"/>
      <c r="N45" s="329"/>
      <c r="O45" s="329"/>
      <c r="P45" s="329"/>
      <c r="Q45" s="329"/>
      <c r="R45" s="329"/>
      <c r="S45" s="329"/>
      <c r="T45" s="329"/>
      <c r="U45" s="181"/>
      <c r="V45" s="155"/>
    </row>
    <row r="46" spans="1:22" x14ac:dyDescent="0.25">
      <c r="A46" s="153"/>
      <c r="B46" s="180"/>
      <c r="C46" s="297" t="s">
        <v>334</v>
      </c>
      <c r="D46" s="289">
        <f>675+25</f>
        <v>700</v>
      </c>
      <c r="E46" s="15">
        <f>675+25</f>
        <v>700</v>
      </c>
      <c r="F46" s="329"/>
      <c r="G46" s="329"/>
      <c r="H46" s="329"/>
      <c r="I46" s="329"/>
      <c r="J46" s="329"/>
      <c r="K46" s="329"/>
      <c r="L46" s="329"/>
      <c r="M46" s="329"/>
      <c r="N46" s="329"/>
      <c r="O46" s="329"/>
      <c r="P46" s="329"/>
      <c r="Q46" s="329"/>
      <c r="R46" s="329"/>
      <c r="S46" s="329"/>
      <c r="T46" s="329"/>
      <c r="U46" s="181"/>
      <c r="V46" s="155"/>
    </row>
    <row r="47" spans="1:22" x14ac:dyDescent="0.25">
      <c r="A47" s="153"/>
      <c r="B47" s="180"/>
      <c r="C47" s="296" t="s">
        <v>335</v>
      </c>
      <c r="D47" s="290">
        <f>840+25</f>
        <v>865</v>
      </c>
      <c r="E47" s="10">
        <f>965+25</f>
        <v>990</v>
      </c>
      <c r="F47" s="329"/>
      <c r="G47" s="329"/>
      <c r="H47" s="329"/>
      <c r="I47" s="329"/>
      <c r="J47" s="329"/>
      <c r="K47" s="329"/>
      <c r="L47" s="329"/>
      <c r="M47" s="329"/>
      <c r="N47" s="329"/>
      <c r="O47" s="329"/>
      <c r="P47" s="329"/>
      <c r="Q47" s="329"/>
      <c r="R47" s="329"/>
      <c r="S47" s="329"/>
      <c r="T47" s="329"/>
      <c r="U47" s="181"/>
      <c r="V47" s="155"/>
    </row>
    <row r="48" spans="1:22" x14ac:dyDescent="0.25">
      <c r="A48" s="153"/>
      <c r="B48" s="180"/>
      <c r="C48" s="298" t="s">
        <v>336</v>
      </c>
      <c r="D48" s="291">
        <f>690+25</f>
        <v>715</v>
      </c>
      <c r="E48" s="16">
        <f>465+25</f>
        <v>490</v>
      </c>
      <c r="F48" s="329"/>
      <c r="G48" s="329"/>
      <c r="H48" s="329"/>
      <c r="I48" s="329"/>
      <c r="J48" s="329"/>
      <c r="K48" s="329"/>
      <c r="L48" s="329"/>
      <c r="M48" s="329"/>
      <c r="N48" s="329"/>
      <c r="O48" s="329"/>
      <c r="P48" s="329"/>
      <c r="Q48" s="329"/>
      <c r="R48" s="329"/>
      <c r="S48" s="329"/>
      <c r="T48" s="329"/>
      <c r="U48" s="181"/>
      <c r="V48" s="155"/>
    </row>
    <row r="49" spans="1:22" x14ac:dyDescent="0.25">
      <c r="A49" s="153"/>
      <c r="B49" s="180"/>
      <c r="C49" s="298" t="s">
        <v>347</v>
      </c>
      <c r="D49" s="291">
        <f>720+25</f>
        <v>745</v>
      </c>
      <c r="E49" s="16">
        <f>510+25</f>
        <v>535</v>
      </c>
      <c r="F49" s="329"/>
      <c r="G49" s="329"/>
      <c r="H49" s="329"/>
      <c r="I49" s="329"/>
      <c r="J49" s="329"/>
      <c r="K49" s="329"/>
      <c r="L49" s="329"/>
      <c r="M49" s="329"/>
      <c r="N49" s="329"/>
      <c r="O49" s="329"/>
      <c r="P49" s="329"/>
      <c r="Q49" s="329"/>
      <c r="R49" s="329"/>
      <c r="S49" s="329"/>
      <c r="T49" s="329"/>
      <c r="U49" s="181"/>
      <c r="V49" s="155"/>
    </row>
    <row r="50" spans="1:22" x14ac:dyDescent="0.25">
      <c r="A50" s="153"/>
      <c r="B50" s="180"/>
      <c r="C50" s="296" t="s">
        <v>337</v>
      </c>
      <c r="D50" s="290">
        <f>890+25</f>
        <v>915</v>
      </c>
      <c r="E50" s="10">
        <f>1020+25</f>
        <v>1045</v>
      </c>
      <c r="F50" s="329"/>
      <c r="G50" s="329"/>
      <c r="H50" s="332"/>
      <c r="I50" s="329"/>
      <c r="J50" s="329"/>
      <c r="K50" s="329"/>
      <c r="L50" s="329"/>
      <c r="M50" s="329"/>
      <c r="N50" s="329"/>
      <c r="O50" s="329"/>
      <c r="P50" s="329"/>
      <c r="Q50" s="329"/>
      <c r="R50" s="329"/>
      <c r="S50" s="329"/>
      <c r="T50" s="329"/>
      <c r="U50" s="181"/>
      <c r="V50" s="155"/>
    </row>
    <row r="51" spans="1:22" x14ac:dyDescent="0.25">
      <c r="A51" s="153"/>
      <c r="B51" s="180"/>
      <c r="C51" s="298" t="s">
        <v>338</v>
      </c>
      <c r="D51" s="291">
        <f>580+25</f>
        <v>605</v>
      </c>
      <c r="E51" s="16">
        <f>740+25</f>
        <v>765</v>
      </c>
      <c r="F51" s="329"/>
      <c r="G51" s="329"/>
      <c r="H51" s="329"/>
      <c r="I51" s="329"/>
      <c r="J51" s="329"/>
      <c r="K51" s="329"/>
      <c r="L51" s="329"/>
      <c r="M51" s="329"/>
      <c r="N51" s="329"/>
      <c r="O51" s="329"/>
      <c r="P51" s="329"/>
      <c r="Q51" s="329"/>
      <c r="R51" s="329"/>
      <c r="S51" s="329"/>
      <c r="T51" s="329"/>
      <c r="U51" s="181"/>
      <c r="V51" s="155"/>
    </row>
    <row r="52" spans="1:22" x14ac:dyDescent="0.25">
      <c r="A52" s="153"/>
      <c r="B52" s="180"/>
      <c r="C52" s="296" t="s">
        <v>339</v>
      </c>
      <c r="D52" s="290">
        <f>640+25</f>
        <v>665</v>
      </c>
      <c r="E52" s="10">
        <f>635+25</f>
        <v>660</v>
      </c>
      <c r="F52" s="329"/>
      <c r="G52" s="329"/>
      <c r="H52" s="329"/>
      <c r="I52" s="329"/>
      <c r="J52" s="329"/>
      <c r="K52" s="329"/>
      <c r="L52" s="329"/>
      <c r="M52" s="329"/>
      <c r="N52" s="329"/>
      <c r="O52" s="329"/>
      <c r="P52" s="329"/>
      <c r="Q52" s="329"/>
      <c r="R52" s="329"/>
      <c r="S52" s="329"/>
      <c r="T52" s="329"/>
      <c r="U52" s="181"/>
      <c r="V52" s="155"/>
    </row>
    <row r="53" spans="1:22" x14ac:dyDescent="0.25">
      <c r="A53" s="153"/>
      <c r="B53" s="180"/>
      <c r="C53" s="298" t="s">
        <v>340</v>
      </c>
      <c r="D53" s="291">
        <f>980+25</f>
        <v>1005</v>
      </c>
      <c r="E53" s="16">
        <f>1065+25</f>
        <v>1090</v>
      </c>
      <c r="F53" s="329"/>
      <c r="G53" s="329"/>
      <c r="H53" s="329"/>
      <c r="I53" s="329"/>
      <c r="J53" s="329"/>
      <c r="K53" s="329"/>
      <c r="P53" s="329"/>
      <c r="Q53" s="329"/>
      <c r="R53" s="329"/>
      <c r="S53" s="329"/>
      <c r="T53" s="329"/>
      <c r="U53" s="181"/>
      <c r="V53" s="155"/>
    </row>
    <row r="54" spans="1:22" x14ac:dyDescent="0.25">
      <c r="A54" s="153"/>
      <c r="B54" s="180"/>
      <c r="C54" s="296" t="s">
        <v>341</v>
      </c>
      <c r="D54" s="290">
        <f>1030+25</f>
        <v>1055</v>
      </c>
      <c r="E54" s="10">
        <f>885+25</f>
        <v>910</v>
      </c>
      <c r="F54" s="329"/>
      <c r="G54" s="329"/>
      <c r="H54" s="329"/>
      <c r="I54" s="329"/>
      <c r="J54" s="329"/>
      <c r="K54" s="329"/>
      <c r="L54" s="329"/>
      <c r="M54" s="329"/>
      <c r="N54" s="329"/>
      <c r="O54" s="329"/>
      <c r="P54" s="329"/>
      <c r="Q54" s="329"/>
      <c r="R54" s="329"/>
      <c r="S54" s="329"/>
      <c r="T54" s="329"/>
      <c r="U54" s="181"/>
      <c r="V54" s="155"/>
    </row>
    <row r="55" spans="1:22" x14ac:dyDescent="0.25">
      <c r="A55" s="153"/>
      <c r="B55" s="180"/>
      <c r="C55" s="298" t="s">
        <v>342</v>
      </c>
      <c r="D55" s="291">
        <f>1290+25</f>
        <v>1315</v>
      </c>
      <c r="E55" s="16">
        <f>1280+25</f>
        <v>1305</v>
      </c>
      <c r="F55" s="329"/>
      <c r="G55" s="329"/>
      <c r="H55" s="329"/>
      <c r="I55" s="329"/>
      <c r="J55" s="329"/>
      <c r="K55" s="329"/>
      <c r="L55" s="329"/>
      <c r="M55" s="329"/>
      <c r="N55" s="329"/>
      <c r="O55" s="329"/>
      <c r="P55" s="329"/>
      <c r="Q55" s="329"/>
      <c r="R55" s="329"/>
      <c r="S55" s="329"/>
      <c r="T55" s="329"/>
      <c r="U55" s="181"/>
      <c r="V55" s="155"/>
    </row>
    <row r="56" spans="1:22" ht="48" customHeight="1" x14ac:dyDescent="0.25">
      <c r="A56" s="328"/>
      <c r="B56" s="180"/>
      <c r="C56" s="296" t="s">
        <v>343</v>
      </c>
      <c r="D56" s="290">
        <f>680+25</f>
        <v>705</v>
      </c>
      <c r="E56" s="10">
        <f>535+25</f>
        <v>560</v>
      </c>
      <c r="F56" s="329"/>
      <c r="G56" s="329"/>
      <c r="H56" s="329"/>
      <c r="I56" s="329"/>
      <c r="J56" s="329"/>
      <c r="K56" s="329"/>
      <c r="L56" s="329"/>
      <c r="M56" s="329"/>
      <c r="N56" s="329"/>
      <c r="O56" s="329"/>
      <c r="P56" s="329"/>
      <c r="Q56" s="329"/>
      <c r="R56" s="329"/>
      <c r="S56" s="329"/>
      <c r="T56" s="329"/>
      <c r="U56" s="181"/>
      <c r="V56" s="155"/>
    </row>
    <row r="57" spans="1:22" x14ac:dyDescent="0.25">
      <c r="A57" s="328"/>
      <c r="B57" s="180"/>
      <c r="C57" s="298" t="s">
        <v>344</v>
      </c>
      <c r="D57" s="291">
        <f>440+25</f>
        <v>465</v>
      </c>
      <c r="E57" s="16">
        <f>635+25</f>
        <v>660</v>
      </c>
      <c r="F57" s="329"/>
      <c r="G57" s="329"/>
      <c r="H57" s="329"/>
      <c r="I57" s="329"/>
      <c r="J57" s="329"/>
      <c r="K57" s="329"/>
      <c r="L57" s="329"/>
      <c r="M57" s="329"/>
      <c r="N57" s="329"/>
      <c r="O57" s="329"/>
      <c r="P57" s="329"/>
      <c r="Q57" s="329"/>
      <c r="R57" s="329"/>
      <c r="S57" s="329"/>
      <c r="T57" s="329"/>
      <c r="U57" s="181"/>
      <c r="V57" s="328"/>
    </row>
    <row r="58" spans="1:22" x14ac:dyDescent="0.25">
      <c r="A58" s="328"/>
      <c r="B58" s="180"/>
      <c r="C58" s="296" t="s">
        <v>345</v>
      </c>
      <c r="D58" s="290">
        <f>950+25</f>
        <v>975</v>
      </c>
      <c r="E58" s="10">
        <f>955+25</f>
        <v>980</v>
      </c>
      <c r="F58" s="329"/>
      <c r="G58" s="329"/>
      <c r="H58" s="329"/>
      <c r="I58" s="329"/>
      <c r="J58" s="329"/>
      <c r="K58" s="329"/>
      <c r="L58" s="329"/>
      <c r="M58" s="329"/>
      <c r="N58" s="329"/>
      <c r="O58" s="329"/>
      <c r="P58" s="329"/>
      <c r="Q58" s="329"/>
      <c r="R58" s="329"/>
      <c r="S58" s="329"/>
      <c r="T58" s="329"/>
      <c r="U58" s="181"/>
      <c r="V58" s="328"/>
    </row>
    <row r="59" spans="1:22" ht="15.75" thickBot="1" x14ac:dyDescent="0.3">
      <c r="A59" s="328"/>
      <c r="B59" s="180"/>
      <c r="C59" s="341" t="s">
        <v>346</v>
      </c>
      <c r="D59" s="342">
        <f>890+25</f>
        <v>915</v>
      </c>
      <c r="E59" s="343">
        <f>1020+25</f>
        <v>1045</v>
      </c>
      <c r="F59" s="329"/>
      <c r="G59" s="329"/>
      <c r="H59" s="329"/>
      <c r="I59" s="329"/>
      <c r="J59" s="329"/>
      <c r="K59" s="329"/>
      <c r="L59" s="329"/>
      <c r="M59" s="329"/>
      <c r="N59" s="329"/>
      <c r="O59" s="329"/>
      <c r="P59" s="329"/>
      <c r="Q59" s="329"/>
      <c r="R59" s="329"/>
      <c r="S59" s="329"/>
      <c r="T59" s="329"/>
      <c r="U59" s="181"/>
      <c r="V59" s="328"/>
    </row>
    <row r="60" spans="1:22" x14ac:dyDescent="0.25">
      <c r="A60" s="328"/>
      <c r="B60" s="180"/>
      <c r="C60" s="299" t="s">
        <v>102</v>
      </c>
      <c r="D60" s="294">
        <v>2435</v>
      </c>
      <c r="E60" s="295"/>
      <c r="F60" s="329"/>
      <c r="G60" s="329"/>
      <c r="H60" s="329"/>
      <c r="I60" s="329"/>
      <c r="J60" s="329"/>
      <c r="K60" s="329"/>
      <c r="L60" s="329"/>
      <c r="M60" s="329"/>
      <c r="N60" s="329"/>
      <c r="O60" s="329"/>
      <c r="P60" s="329"/>
      <c r="Q60" s="329"/>
      <c r="R60" s="329"/>
      <c r="S60" s="329"/>
      <c r="T60" s="329"/>
      <c r="U60" s="181"/>
      <c r="V60" s="328"/>
    </row>
    <row r="61" spans="1:22" ht="15.75" thickBot="1" x14ac:dyDescent="0.3">
      <c r="A61" s="328"/>
      <c r="B61" s="187"/>
      <c r="C61" s="300" t="s">
        <v>103</v>
      </c>
      <c r="D61" s="292">
        <v>1623</v>
      </c>
      <c r="E61" s="293"/>
      <c r="F61" s="188"/>
      <c r="G61" s="188"/>
      <c r="H61" s="188"/>
      <c r="I61" s="188"/>
      <c r="J61" s="188"/>
      <c r="K61" s="188"/>
      <c r="L61" s="188"/>
      <c r="M61" s="188"/>
      <c r="N61" s="188"/>
      <c r="O61" s="188"/>
      <c r="P61" s="188"/>
      <c r="Q61" s="188"/>
      <c r="R61" s="188"/>
      <c r="S61" s="188"/>
      <c r="T61" s="188"/>
      <c r="U61" s="189"/>
      <c r="V61" s="328"/>
    </row>
    <row r="62" spans="1:22" ht="48" customHeight="1" x14ac:dyDescent="0.25">
      <c r="A62" s="328"/>
      <c r="B62" s="328"/>
      <c r="C62" s="328"/>
      <c r="D62" s="328"/>
      <c r="E62" s="328"/>
      <c r="F62" s="328"/>
      <c r="G62" s="328"/>
      <c r="H62" s="328"/>
      <c r="I62" s="328"/>
      <c r="J62" s="328"/>
      <c r="K62" s="328"/>
      <c r="L62" s="328"/>
      <c r="M62" s="328"/>
      <c r="N62" s="328"/>
      <c r="O62" s="328"/>
      <c r="P62" s="328"/>
      <c r="Q62" s="328"/>
      <c r="R62" s="328"/>
      <c r="S62" s="328"/>
      <c r="T62" s="328"/>
      <c r="U62" s="328"/>
      <c r="V62" s="328"/>
    </row>
  </sheetData>
  <mergeCells count="10">
    <mergeCell ref="K5:O5"/>
    <mergeCell ref="G16:K16"/>
    <mergeCell ref="G17:K18"/>
    <mergeCell ref="G19:K19"/>
    <mergeCell ref="C12:D12"/>
    <mergeCell ref="D6:E6"/>
    <mergeCell ref="D7:E7"/>
    <mergeCell ref="D8:E8"/>
    <mergeCell ref="D9:E9"/>
    <mergeCell ref="D10:E10"/>
  </mergeCells>
  <phoneticPr fontId="32" type="noConversion"/>
  <pageMargins left="0.7" right="0.7" top="0.75" bottom="0.75" header="0.3" footer="0.3"/>
  <pageSetup paperSize="8" scale="63" orientation="landscape" r:id="rId1"/>
  <ignoredErrors>
    <ignoredError sqref="D29:D33 M29:M33 S7:S11" evalError="1"/>
  </ignoredErrors>
  <drawing r:id="rId2"/>
  <legacyDrawing r:id="rId3"/>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100-000000000000}">
          <x14:formula1>
            <xm:f>Workings!$B$6:$B$7</xm:f>
          </x14:formula1>
          <xm:sqref>D13</xm:sqref>
        </x14:dataValidation>
        <x14:dataValidation type="list" allowBlank="1" showInputMessage="1" showErrorMessage="1" xr:uid="{00000000-0002-0000-0100-000001000000}">
          <x14:formula1>
            <xm:f>Workings!$D$6:$D$7</xm:f>
          </x14:formula1>
          <xm:sqref>D16</xm:sqref>
        </x14:dataValidation>
        <x14:dataValidation type="list" allowBlank="1" showInputMessage="1" showErrorMessage="1" xr:uid="{00000000-0002-0000-0100-000002000000}">
          <x14:formula1>
            <xm:f>Workings!$C$6:$C$7</xm:f>
          </x14:formula1>
          <xm:sqref>D14:D15</xm:sqref>
        </x14:dataValidation>
        <x14:dataValidation type="list" allowBlank="1" showInputMessage="1" showErrorMessage="1" xr:uid="{00000000-0002-0000-0100-000003000000}">
          <x14:formula1>
            <xm:f>Workings!$A$13:$A$16</xm:f>
          </x14:formula1>
          <xm:sqref>D17</xm:sqref>
        </x14:dataValidation>
        <x14:dataValidation type="list" allowBlank="1" showInputMessage="1" showErrorMessage="1" xr:uid="{00000000-0002-0000-0100-000004000000}">
          <x14:formula1>
            <xm:f>Workings!$B$13:$B$23</xm:f>
          </x14:formula1>
          <xm:sqref>D18</xm:sqref>
        </x14:dataValidation>
        <x14:dataValidation type="list" allowBlank="1" showInputMessage="1" showErrorMessage="1" xr:uid="{00000000-0002-0000-0100-000005000000}">
          <x14:formula1>
            <xm:f>Workings!$E$6:$E$7</xm:f>
          </x14:formula1>
          <xm:sqref>K7:K10</xm:sqref>
        </x14:dataValidation>
        <x14:dataValidation type="list" allowBlank="1" showInputMessage="1" showErrorMessage="1" xr:uid="{00000000-0002-0000-0100-000006000000}">
          <x14:formula1>
            <xm:f>Workings!$A$6:$A$11</xm:f>
          </x14:formula1>
          <xm:sqref>F7:F10</xm:sqref>
        </x14:dataValidation>
        <x14:dataValidation type="list" allowBlank="1" xr:uid="{00000000-0002-0000-0100-000007000000}">
          <x14:formula1>
            <xm:f>Data!$A$1:$A$220</xm:f>
          </x14:formula1>
          <xm:sqref>C7:C10</xm:sqref>
        </x14:dataValidation>
        <x14:dataValidation type="list" allowBlank="1" showErrorMessage="1" xr:uid="{00000000-0002-0000-0100-000008000000}">
          <x14:formula1>
            <xm:f>Workings!$K$5:$K$14</xm:f>
          </x14:formula1>
          <xm:sqref>B7:B10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2" tint="-0.749992370372631"/>
    <pageSetUpPr fitToPage="1"/>
  </sheetPr>
  <dimension ref="A1:R71"/>
  <sheetViews>
    <sheetView zoomScale="90" zoomScaleNormal="90" workbookViewId="0">
      <selection activeCell="C2" sqref="C2"/>
    </sheetView>
  </sheetViews>
  <sheetFormatPr defaultRowHeight="15" x14ac:dyDescent="0.25"/>
  <cols>
    <col min="1" max="1" width="5.7109375" customWidth="1"/>
    <col min="2" max="2" width="31.28515625" customWidth="1"/>
    <col min="3" max="3" width="45.7109375" customWidth="1"/>
    <col min="4" max="5" width="21.42578125" customWidth="1"/>
    <col min="6" max="6" width="18.42578125" customWidth="1"/>
    <col min="7" max="7" width="19.85546875" customWidth="1"/>
    <col min="8" max="8" width="14.5703125" customWidth="1"/>
    <col min="9" max="9" width="17.140625" customWidth="1"/>
    <col min="10" max="10" width="16.5703125" customWidth="1"/>
    <col min="11" max="11" width="15.28515625" customWidth="1"/>
    <col min="12" max="12" width="14.7109375" customWidth="1"/>
    <col min="13" max="13" width="12.42578125" customWidth="1"/>
    <col min="14" max="14" width="13" customWidth="1"/>
    <col min="15" max="15" width="12.5703125" customWidth="1"/>
    <col min="16" max="16" width="14.140625" customWidth="1"/>
    <col min="17" max="17" width="11.42578125" customWidth="1"/>
    <col min="18" max="18" width="5.7109375" customWidth="1"/>
  </cols>
  <sheetData>
    <row r="1" spans="1:18" ht="37.5" customHeight="1" thickBot="1" x14ac:dyDescent="0.3">
      <c r="A1" s="316"/>
      <c r="B1" s="317"/>
      <c r="C1" s="317"/>
      <c r="D1" s="317"/>
      <c r="E1" s="317"/>
      <c r="F1" s="317"/>
      <c r="G1" s="317"/>
      <c r="H1" s="317"/>
      <c r="I1" s="317"/>
      <c r="J1" s="317"/>
      <c r="K1" s="317"/>
      <c r="L1" s="317"/>
      <c r="M1" s="317"/>
      <c r="N1" s="317"/>
      <c r="O1" s="317"/>
      <c r="P1" s="317"/>
      <c r="Q1" s="317"/>
      <c r="R1" s="318"/>
    </row>
    <row r="2" spans="1:18" ht="37.5" customHeight="1" thickBot="1" x14ac:dyDescent="0.4">
      <c r="A2" s="319"/>
      <c r="B2" s="110"/>
      <c r="C2" s="111"/>
      <c r="D2" s="112"/>
      <c r="E2" s="112"/>
      <c r="F2" s="112"/>
      <c r="G2" s="112"/>
      <c r="H2" s="112"/>
      <c r="I2" s="112"/>
      <c r="J2" s="112"/>
      <c r="K2" s="112"/>
      <c r="L2" s="112"/>
      <c r="M2" s="112"/>
      <c r="N2" s="112"/>
      <c r="O2" s="112"/>
      <c r="P2" s="112"/>
      <c r="Q2" s="113"/>
      <c r="R2" s="320"/>
    </row>
    <row r="3" spans="1:18" ht="15.75" thickBot="1" x14ac:dyDescent="0.3">
      <c r="A3" s="319"/>
      <c r="B3" s="90"/>
      <c r="C3" s="304"/>
      <c r="D3" s="304"/>
      <c r="E3" s="304"/>
      <c r="F3" s="304"/>
      <c r="G3" s="304"/>
      <c r="H3" s="219" t="s">
        <v>73</v>
      </c>
      <c r="I3" s="18"/>
      <c r="J3" s="18"/>
      <c r="K3" s="18"/>
      <c r="L3" s="19"/>
      <c r="M3" s="304"/>
      <c r="N3" s="304"/>
      <c r="O3" s="304"/>
      <c r="P3" s="304"/>
      <c r="Q3" s="114"/>
      <c r="R3" s="320"/>
    </row>
    <row r="4" spans="1:18" ht="23.25" customHeight="1" thickBot="1" x14ac:dyDescent="0.4">
      <c r="A4" s="319"/>
      <c r="B4" s="123" t="s">
        <v>75</v>
      </c>
      <c r="C4" s="305"/>
      <c r="D4" s="304"/>
      <c r="E4" s="304"/>
      <c r="F4" s="304"/>
      <c r="G4" s="304"/>
      <c r="H4" s="393" t="s">
        <v>86</v>
      </c>
      <c r="I4" s="394"/>
      <c r="J4" s="394"/>
      <c r="K4" s="394"/>
      <c r="L4" s="395"/>
      <c r="M4" s="304"/>
      <c r="N4" s="304"/>
      <c r="O4" s="304"/>
      <c r="P4" s="304"/>
      <c r="Q4" s="114"/>
      <c r="R4" s="320"/>
    </row>
    <row r="5" spans="1:18" ht="15.75" thickBot="1" x14ac:dyDescent="0.3">
      <c r="A5" s="319"/>
      <c r="B5" s="90"/>
      <c r="C5" s="304"/>
      <c r="D5" s="304"/>
      <c r="E5" s="304"/>
      <c r="F5" s="304"/>
      <c r="G5" s="304"/>
      <c r="H5" s="393"/>
      <c r="I5" s="394"/>
      <c r="J5" s="394"/>
      <c r="K5" s="394"/>
      <c r="L5" s="395"/>
      <c r="M5" s="304"/>
      <c r="N5" s="304"/>
      <c r="O5" s="304"/>
      <c r="P5" s="304"/>
      <c r="Q5" s="114"/>
      <c r="R5" s="320"/>
    </row>
    <row r="6" spans="1:18" s="1" customFormat="1" ht="15.75" customHeight="1" x14ac:dyDescent="0.25">
      <c r="A6" s="321"/>
      <c r="B6" s="435" t="s">
        <v>9</v>
      </c>
      <c r="C6" s="436"/>
      <c r="D6" s="306"/>
      <c r="E6" s="306"/>
      <c r="F6" s="307"/>
      <c r="G6" s="307"/>
      <c r="H6" s="393" t="s">
        <v>284</v>
      </c>
      <c r="I6" s="394"/>
      <c r="J6" s="394"/>
      <c r="K6" s="394"/>
      <c r="L6" s="395"/>
      <c r="M6" s="307"/>
      <c r="N6" s="307"/>
      <c r="O6" s="307"/>
      <c r="P6" s="307"/>
      <c r="Q6" s="115"/>
      <c r="R6" s="322"/>
    </row>
    <row r="7" spans="1:18" s="1" customFormat="1" ht="19.5" customHeight="1" x14ac:dyDescent="0.25">
      <c r="A7" s="321"/>
      <c r="B7" s="48" t="s">
        <v>10</v>
      </c>
      <c r="C7" s="74"/>
      <c r="D7" s="308"/>
      <c r="E7" s="308"/>
      <c r="F7" s="307"/>
      <c r="G7" s="307"/>
      <c r="H7" s="393"/>
      <c r="I7" s="394"/>
      <c r="J7" s="394"/>
      <c r="K7" s="394"/>
      <c r="L7" s="395"/>
      <c r="M7" s="307"/>
      <c r="N7" s="307"/>
      <c r="O7" s="307"/>
      <c r="P7" s="307"/>
      <c r="Q7" s="115"/>
      <c r="R7" s="322"/>
    </row>
    <row r="8" spans="1:18" s="1" customFormat="1" ht="19.5" customHeight="1" x14ac:dyDescent="0.25">
      <c r="A8" s="321"/>
      <c r="B8" s="38" t="s">
        <v>16</v>
      </c>
      <c r="C8" s="75"/>
      <c r="D8" s="308"/>
      <c r="E8" s="308"/>
      <c r="F8" s="307"/>
      <c r="G8" s="307"/>
      <c r="H8" s="393" t="s">
        <v>85</v>
      </c>
      <c r="I8" s="394"/>
      <c r="J8" s="394"/>
      <c r="K8" s="394"/>
      <c r="L8" s="395"/>
      <c r="M8" s="307"/>
      <c r="N8" s="307"/>
      <c r="O8" s="307"/>
      <c r="P8" s="307"/>
      <c r="Q8" s="115"/>
      <c r="R8" s="322"/>
    </row>
    <row r="9" spans="1:18" s="1" customFormat="1" ht="19.5" customHeight="1" thickBot="1" x14ac:dyDescent="0.3">
      <c r="A9" s="321"/>
      <c r="B9" s="48" t="s">
        <v>17</v>
      </c>
      <c r="C9" s="74"/>
      <c r="D9" s="308"/>
      <c r="E9" s="308"/>
      <c r="F9" s="307"/>
      <c r="G9" s="307"/>
      <c r="H9" s="396"/>
      <c r="I9" s="397"/>
      <c r="J9" s="397"/>
      <c r="K9" s="397"/>
      <c r="L9" s="398"/>
      <c r="M9" s="307"/>
      <c r="N9" s="307"/>
      <c r="O9" s="307"/>
      <c r="P9" s="307"/>
      <c r="Q9" s="115"/>
      <c r="R9" s="322"/>
    </row>
    <row r="10" spans="1:18" s="1" customFormat="1" ht="19.5" customHeight="1" x14ac:dyDescent="0.25">
      <c r="A10" s="321"/>
      <c r="B10" s="38" t="s">
        <v>22</v>
      </c>
      <c r="C10" s="75"/>
      <c r="D10" s="308"/>
      <c r="E10" s="308"/>
      <c r="F10" s="307"/>
      <c r="G10" s="307"/>
      <c r="H10" s="309"/>
      <c r="I10" s="309"/>
      <c r="J10" s="309"/>
      <c r="K10" s="309"/>
      <c r="L10" s="309"/>
      <c r="M10" s="307"/>
      <c r="N10" s="307"/>
      <c r="O10" s="307"/>
      <c r="P10" s="307"/>
      <c r="Q10" s="115"/>
      <c r="R10" s="322"/>
    </row>
    <row r="11" spans="1:18" s="1" customFormat="1" ht="19.5" customHeight="1" x14ac:dyDescent="0.25">
      <c r="A11" s="321"/>
      <c r="B11" s="48" t="s">
        <v>53</v>
      </c>
      <c r="C11" s="74"/>
      <c r="D11" s="308"/>
      <c r="E11" s="308"/>
      <c r="F11" s="307"/>
      <c r="G11" s="307"/>
      <c r="H11" s="416"/>
      <c r="I11" s="416"/>
      <c r="J11" s="416"/>
      <c r="K11" s="416"/>
      <c r="L11" s="416"/>
      <c r="M11" s="307"/>
      <c r="N11" s="307"/>
      <c r="O11" s="307"/>
      <c r="P11" s="307"/>
      <c r="Q11" s="115"/>
      <c r="R11" s="322"/>
    </row>
    <row r="12" spans="1:18" s="1" customFormat="1" ht="19.5" customHeight="1" x14ac:dyDescent="0.25">
      <c r="A12" s="321"/>
      <c r="B12" s="38" t="s">
        <v>40</v>
      </c>
      <c r="C12" s="75"/>
      <c r="D12" s="308"/>
      <c r="E12" s="308"/>
      <c r="F12" s="307"/>
      <c r="G12" s="307"/>
      <c r="H12" s="307"/>
      <c r="I12" s="307"/>
      <c r="J12" s="307"/>
      <c r="K12" s="307"/>
      <c r="L12" s="307"/>
      <c r="M12" s="307"/>
      <c r="N12" s="307"/>
      <c r="O12" s="307"/>
      <c r="P12" s="307"/>
      <c r="Q12" s="115"/>
      <c r="R12" s="322"/>
    </row>
    <row r="13" spans="1:18" s="1" customFormat="1" ht="19.5" customHeight="1" x14ac:dyDescent="0.25">
      <c r="A13" s="321"/>
      <c r="B13" s="48" t="s">
        <v>33</v>
      </c>
      <c r="C13" s="76"/>
      <c r="D13" s="310"/>
      <c r="E13" s="310"/>
      <c r="F13" s="307"/>
      <c r="G13" s="307"/>
      <c r="H13" s="307"/>
      <c r="I13" s="307"/>
      <c r="J13" s="307"/>
      <c r="K13" s="307"/>
      <c r="L13" s="307"/>
      <c r="M13" s="307"/>
      <c r="N13" s="307"/>
      <c r="O13" s="307"/>
      <c r="P13" s="307"/>
      <c r="Q13" s="115"/>
      <c r="R13" s="322"/>
    </row>
    <row r="14" spans="1:18" s="1" customFormat="1" ht="19.5" customHeight="1" x14ac:dyDescent="0.25">
      <c r="A14" s="321"/>
      <c r="B14" s="38" t="s">
        <v>64</v>
      </c>
      <c r="C14" s="77"/>
      <c r="D14" s="311"/>
      <c r="E14" s="311"/>
      <c r="F14" s="307"/>
      <c r="G14" s="307"/>
      <c r="H14" s="307"/>
      <c r="I14" s="307"/>
      <c r="J14" s="307"/>
      <c r="K14" s="307"/>
      <c r="L14" s="307"/>
      <c r="M14" s="307"/>
      <c r="N14" s="307"/>
      <c r="O14" s="307"/>
      <c r="P14" s="307"/>
      <c r="Q14" s="115"/>
      <c r="R14" s="322"/>
    </row>
    <row r="15" spans="1:18" s="1" customFormat="1" ht="19.5" customHeight="1" x14ac:dyDescent="0.25">
      <c r="A15" s="321"/>
      <c r="B15" s="48" t="s">
        <v>31</v>
      </c>
      <c r="C15" s="437">
        <v>0.4</v>
      </c>
      <c r="D15" s="312"/>
      <c r="E15" s="312"/>
      <c r="F15" s="307"/>
      <c r="G15" s="307"/>
      <c r="H15" s="307"/>
      <c r="I15" s="307"/>
      <c r="J15" s="307"/>
      <c r="K15" s="307"/>
      <c r="L15" s="307"/>
      <c r="M15" s="307"/>
      <c r="N15" s="307"/>
      <c r="O15" s="307"/>
      <c r="P15" s="307"/>
      <c r="Q15" s="115"/>
      <c r="R15" s="322"/>
    </row>
    <row r="16" spans="1:18" s="1" customFormat="1" ht="18.75" customHeight="1" thickBot="1" x14ac:dyDescent="0.3">
      <c r="A16" s="321"/>
      <c r="B16" s="168" t="s">
        <v>529</v>
      </c>
      <c r="C16" s="438" t="str">
        <f>IFERROR(D33*0.25%,"")</f>
        <v/>
      </c>
      <c r="D16" s="307"/>
      <c r="E16" s="307"/>
      <c r="F16" s="307"/>
      <c r="G16" s="307"/>
      <c r="H16" s="307"/>
      <c r="I16" s="307"/>
      <c r="J16" s="307"/>
      <c r="K16" s="307"/>
      <c r="L16" s="307"/>
      <c r="M16" s="307"/>
      <c r="N16" s="307"/>
      <c r="O16" s="307"/>
      <c r="P16" s="307"/>
      <c r="Q16" s="115"/>
      <c r="R16" s="322"/>
    </row>
    <row r="17" spans="1:18" s="1" customFormat="1" ht="27" customHeight="1" x14ac:dyDescent="0.25">
      <c r="A17" s="321"/>
      <c r="B17" s="116"/>
      <c r="C17" s="307"/>
      <c r="D17" s="313"/>
      <c r="E17" s="390" t="s">
        <v>77</v>
      </c>
      <c r="F17" s="391"/>
      <c r="G17" s="391"/>
      <c r="H17" s="391"/>
      <c r="I17" s="392"/>
      <c r="J17" s="307"/>
      <c r="K17" s="307"/>
      <c r="L17" s="307"/>
      <c r="M17" s="307"/>
      <c r="N17" s="307"/>
      <c r="O17" s="307"/>
      <c r="P17" s="307"/>
      <c r="Q17" s="115"/>
      <c r="R17" s="322"/>
    </row>
    <row r="18" spans="1:18" s="1" customFormat="1" ht="33.75" customHeight="1" x14ac:dyDescent="0.25">
      <c r="A18" s="321"/>
      <c r="B18" s="3" t="s">
        <v>26</v>
      </c>
      <c r="C18" s="4" t="s">
        <v>98</v>
      </c>
      <c r="D18" s="72" t="s">
        <v>108</v>
      </c>
      <c r="E18" s="3" t="s">
        <v>78</v>
      </c>
      <c r="F18" s="4" t="s">
        <v>83</v>
      </c>
      <c r="G18" s="4" t="s">
        <v>84</v>
      </c>
      <c r="H18" s="63" t="s">
        <v>282</v>
      </c>
      <c r="I18" s="5" t="s">
        <v>96</v>
      </c>
      <c r="J18" s="6" t="s">
        <v>281</v>
      </c>
      <c r="K18" s="4" t="s">
        <v>280</v>
      </c>
      <c r="L18" s="4" t="s">
        <v>18</v>
      </c>
      <c r="M18" s="4" t="s">
        <v>1</v>
      </c>
      <c r="N18" s="4" t="s">
        <v>2</v>
      </c>
      <c r="O18" s="4" t="s">
        <v>3</v>
      </c>
      <c r="P18" s="314"/>
      <c r="Q18" s="121" t="s">
        <v>54</v>
      </c>
      <c r="R18" s="322"/>
    </row>
    <row r="19" spans="1:18" s="1" customFormat="1" ht="22.5" customHeight="1" x14ac:dyDescent="0.25">
      <c r="A19" s="321"/>
      <c r="B19" s="41"/>
      <c r="C19" s="215" cm="1">
        <f t="array" ref="C19">_xlfn.IFNA(_xlfn.XLOOKUP(D19&amp;B19,DataFeed!A2:A246&amp;DataFeed!B2:B246,DataFeed!C2:C246)," ")</f>
        <v>0</v>
      </c>
      <c r="D19" s="175"/>
      <c r="E19" s="78" t="s">
        <v>80</v>
      </c>
      <c r="F19" s="43"/>
      <c r="G19" s="88"/>
      <c r="H19" s="216" t="str">
        <f t="shared" ref="H19" si="0">IFERROR(G19/N19,"")</f>
        <v/>
      </c>
      <c r="I19" s="212" t="str">
        <f t="shared" ref="I19" si="1">IFERROR(G19/O19,"")</f>
        <v/>
      </c>
      <c r="J19" s="217" cm="1">
        <f t="array" ref="J19">_xlfn.IFNA(_xlfn.XLOOKUP(D19&amp;B19,DataFeed!A2:A246&amp;DataFeed!B2:B246,DataFeed!F2:F246)," ")</f>
        <v>0</v>
      </c>
      <c r="K19" s="209" cm="1">
        <f t="array" ref="K19">_xlfn.IFNA(_xlfn.XLOOKUP(D19&amp;B19,DataFeed!A2:A246&amp;DataFeed!B2:B246,DataFeed!I2:I246)," ")</f>
        <v>0</v>
      </c>
      <c r="L19" s="55"/>
      <c r="M19" s="55"/>
      <c r="N19" s="209" cm="1">
        <f t="array" ref="N19">_xlfn.IFNA(_xlfn.XLOOKUP(D19&amp;B19,DataFeed!A2:A246&amp;DataFeed!B2:B246,DataFeed!J2:J246)," ")</f>
        <v>0</v>
      </c>
      <c r="O19" s="209" cm="1">
        <f t="array" ref="O19">_xlfn.IFNA(_xlfn.XLOOKUP(D19&amp;B19,DataFeed!A2:A246&amp;DataFeed!B2:B246,DataFeed!G2:G246)," ")</f>
        <v>0</v>
      </c>
      <c r="P19" s="314" t="str">
        <f>CONCATENATE(M19,$C$7)</f>
        <v/>
      </c>
      <c r="Q19" s="120" t="e">
        <f t="shared" ref="Q19:Q24" si="2">IF(E19="GBP",G19,IF(E19="Euro",G19/F19,0))</f>
        <v>#DIV/0!</v>
      </c>
      <c r="R19" s="322"/>
    </row>
    <row r="20" spans="1:18" s="1" customFormat="1" ht="22.5" customHeight="1" x14ac:dyDescent="0.25">
      <c r="A20" s="321"/>
      <c r="B20" s="41"/>
      <c r="C20" s="215" cm="1">
        <f t="array" ref="C20">_xlfn.IFNA(_xlfn.XLOOKUP(D20&amp;B20,DataFeed!A3:A247&amp;DataFeed!B3:B247,DataFeed!C3:C247)," ")</f>
        <v>0</v>
      </c>
      <c r="D20" s="175"/>
      <c r="E20" s="78" t="s">
        <v>80</v>
      </c>
      <c r="F20" s="43"/>
      <c r="G20" s="88"/>
      <c r="H20" s="216" t="str">
        <f t="shared" ref="H20:H28" si="3">IFERROR(G20/N20,"")</f>
        <v/>
      </c>
      <c r="I20" s="212" t="str">
        <f t="shared" ref="I20:I28" si="4">IFERROR(G20/O20,"")</f>
        <v/>
      </c>
      <c r="J20" s="217" cm="1">
        <f t="array" ref="J20">_xlfn.IFNA(_xlfn.XLOOKUP(D20&amp;B20,DataFeed!A3:A247&amp;DataFeed!B3:B247,DataFeed!F3:F247)," ")</f>
        <v>0</v>
      </c>
      <c r="K20" s="209" cm="1">
        <f t="array" ref="K20">_xlfn.IFNA(_xlfn.XLOOKUP(D20&amp;B20,DataFeed!A3:A247&amp;DataFeed!B3:B247,DataFeed!I3:I247)," ")</f>
        <v>0</v>
      </c>
      <c r="L20" s="55"/>
      <c r="M20" s="55"/>
      <c r="N20" s="209" cm="1">
        <f t="array" ref="N20">_xlfn.IFNA(_xlfn.XLOOKUP(D20&amp;B20,DataFeed!A3:A247&amp;DataFeed!B3:B247,DataFeed!J3:J247)," ")</f>
        <v>0</v>
      </c>
      <c r="O20" s="209" cm="1">
        <f t="array" ref="O20">_xlfn.IFNA(_xlfn.XLOOKUP(D20&amp;B20,DataFeed!A3:A247&amp;DataFeed!B3:B247,DataFeed!G3:G247)," ")</f>
        <v>0</v>
      </c>
      <c r="P20" s="314" t="str">
        <f t="shared" ref="P20:P28" si="5">CONCATENATE(M20,$C$7)</f>
        <v/>
      </c>
      <c r="Q20" s="120" t="e">
        <f t="shared" si="2"/>
        <v>#DIV/0!</v>
      </c>
      <c r="R20" s="322"/>
    </row>
    <row r="21" spans="1:18" s="1" customFormat="1" ht="22.5" customHeight="1" x14ac:dyDescent="0.25">
      <c r="A21" s="321"/>
      <c r="B21" s="41"/>
      <c r="C21" s="215" cm="1">
        <f t="array" ref="C21">_xlfn.IFNA(_xlfn.XLOOKUP(D21&amp;B21,DataFeed!A4:A248&amp;DataFeed!B4:B248,DataFeed!C4:C248)," ")</f>
        <v>0</v>
      </c>
      <c r="D21" s="175"/>
      <c r="E21" s="78" t="s">
        <v>80</v>
      </c>
      <c r="F21" s="43"/>
      <c r="G21" s="88"/>
      <c r="H21" s="216" t="str">
        <f t="shared" si="3"/>
        <v/>
      </c>
      <c r="I21" s="212" t="str">
        <f t="shared" si="4"/>
        <v/>
      </c>
      <c r="J21" s="217" cm="1">
        <f t="array" ref="J21">_xlfn.IFNA(_xlfn.XLOOKUP(D21&amp;B21,DataFeed!A4:A248&amp;DataFeed!B4:B248,DataFeed!F4:F248)," ")</f>
        <v>0</v>
      </c>
      <c r="K21" s="209" cm="1">
        <f t="array" ref="K21">_xlfn.IFNA(_xlfn.XLOOKUP(D21&amp;B21,DataFeed!A4:A248&amp;DataFeed!B4:B248,DataFeed!I4:I248)," ")</f>
        <v>0</v>
      </c>
      <c r="L21" s="55"/>
      <c r="M21" s="55"/>
      <c r="N21" s="209" cm="1">
        <f t="array" ref="N21">_xlfn.IFNA(_xlfn.XLOOKUP(D21&amp;B21,DataFeed!A4:A248&amp;DataFeed!B4:B248,DataFeed!J4:J248)," ")</f>
        <v>0</v>
      </c>
      <c r="O21" s="209" cm="1">
        <f t="array" ref="O21">_xlfn.IFNA(_xlfn.XLOOKUP(D21&amp;B21,DataFeed!A4:A248&amp;DataFeed!B4:B248,DataFeed!G4:G248)," ")</f>
        <v>0</v>
      </c>
      <c r="P21" s="314" t="str">
        <f t="shared" si="5"/>
        <v/>
      </c>
      <c r="Q21" s="120" t="e">
        <f t="shared" si="2"/>
        <v>#DIV/0!</v>
      </c>
      <c r="R21" s="322"/>
    </row>
    <row r="22" spans="1:18" s="1" customFormat="1" ht="22.5" customHeight="1" x14ac:dyDescent="0.25">
      <c r="A22" s="321"/>
      <c r="B22" s="41"/>
      <c r="C22" s="215" cm="1">
        <f t="array" ref="C22">_xlfn.IFNA(_xlfn.XLOOKUP(D22&amp;B22,DataFeed!A5:A249&amp;DataFeed!B5:B249,DataFeed!C5:C249)," ")</f>
        <v>0</v>
      </c>
      <c r="D22" s="175"/>
      <c r="E22" s="78" t="s">
        <v>80</v>
      </c>
      <c r="F22" s="43"/>
      <c r="G22" s="88"/>
      <c r="H22" s="216" t="str">
        <f t="shared" si="3"/>
        <v/>
      </c>
      <c r="I22" s="212" t="str">
        <f t="shared" si="4"/>
        <v/>
      </c>
      <c r="J22" s="217" cm="1">
        <f t="array" ref="J22">_xlfn.IFNA(_xlfn.XLOOKUP(D22&amp;B22,DataFeed!A5:A249&amp;DataFeed!B5:B249,DataFeed!F5:F249)," ")</f>
        <v>0</v>
      </c>
      <c r="K22" s="209" cm="1">
        <f t="array" ref="K22">_xlfn.IFNA(_xlfn.XLOOKUP(D22&amp;B22,DataFeed!A5:A249&amp;DataFeed!B5:B249,DataFeed!I5:I249)," ")</f>
        <v>0</v>
      </c>
      <c r="L22" s="55"/>
      <c r="M22" s="55"/>
      <c r="N22" s="209" cm="1">
        <f t="array" ref="N22">_xlfn.IFNA(_xlfn.XLOOKUP(D22&amp;B22,DataFeed!A5:A249&amp;DataFeed!B5:B249,DataFeed!J5:J249)," ")</f>
        <v>0</v>
      </c>
      <c r="O22" s="209" cm="1">
        <f t="array" ref="O22">_xlfn.IFNA(_xlfn.XLOOKUP(D22&amp;B22,DataFeed!A5:A249&amp;DataFeed!B5:B249,DataFeed!G5:G249)," ")</f>
        <v>0</v>
      </c>
      <c r="P22" s="314" t="str">
        <f t="shared" si="5"/>
        <v/>
      </c>
      <c r="Q22" s="120" t="e">
        <f t="shared" si="2"/>
        <v>#DIV/0!</v>
      </c>
      <c r="R22" s="322"/>
    </row>
    <row r="23" spans="1:18" s="1" customFormat="1" ht="22.5" customHeight="1" x14ac:dyDescent="0.25">
      <c r="A23" s="321"/>
      <c r="B23" s="41"/>
      <c r="C23" s="215" cm="1">
        <f t="array" ref="C23">_xlfn.IFNA(_xlfn.XLOOKUP(D23&amp;B23,DataFeed!A6:A250&amp;DataFeed!B6:B250,DataFeed!C6:C250)," ")</f>
        <v>0</v>
      </c>
      <c r="D23" s="175"/>
      <c r="E23" s="78" t="s">
        <v>80</v>
      </c>
      <c r="F23" s="43"/>
      <c r="G23" s="88"/>
      <c r="H23" s="216" t="str">
        <f t="shared" si="3"/>
        <v/>
      </c>
      <c r="I23" s="212" t="str">
        <f t="shared" si="4"/>
        <v/>
      </c>
      <c r="J23" s="217" cm="1">
        <f t="array" ref="J23">_xlfn.IFNA(_xlfn.XLOOKUP(D23&amp;B23,DataFeed!A6:A250&amp;DataFeed!B6:B250,DataFeed!F6:F250)," ")</f>
        <v>0</v>
      </c>
      <c r="K23" s="209" cm="1">
        <f t="array" ref="K23">_xlfn.IFNA(_xlfn.XLOOKUP(D23&amp;B23,DataFeed!A6:A250&amp;DataFeed!B6:B250,DataFeed!I6:I250)," ")</f>
        <v>0</v>
      </c>
      <c r="L23" s="55"/>
      <c r="M23" s="55"/>
      <c r="N23" s="209" cm="1">
        <f t="array" ref="N23">_xlfn.IFNA(_xlfn.XLOOKUP(D23&amp;B23,DataFeed!A6:A250&amp;DataFeed!B6:B250,DataFeed!J6:J250)," ")</f>
        <v>0</v>
      </c>
      <c r="O23" s="209" cm="1">
        <f t="array" ref="O23">_xlfn.IFNA(_xlfn.XLOOKUP(D23&amp;B23,DataFeed!A6:A250&amp;DataFeed!B6:B250,DataFeed!G6:G250)," ")</f>
        <v>0</v>
      </c>
      <c r="P23" s="314" t="str">
        <f t="shared" si="5"/>
        <v/>
      </c>
      <c r="Q23" s="120" t="e">
        <f t="shared" si="2"/>
        <v>#DIV/0!</v>
      </c>
      <c r="R23" s="322"/>
    </row>
    <row r="24" spans="1:18" s="1" customFormat="1" ht="22.5" customHeight="1" x14ac:dyDescent="0.25">
      <c r="A24" s="321"/>
      <c r="B24" s="41"/>
      <c r="C24" s="215" cm="1">
        <f t="array" ref="C24">_xlfn.IFNA(_xlfn.XLOOKUP(D24&amp;B24,DataFeed!A7:A251&amp;DataFeed!B7:B251,DataFeed!C7:C251)," ")</f>
        <v>0</v>
      </c>
      <c r="D24" s="175"/>
      <c r="E24" s="78" t="s">
        <v>80</v>
      </c>
      <c r="F24" s="43"/>
      <c r="G24" s="88"/>
      <c r="H24" s="216" t="str">
        <f t="shared" si="3"/>
        <v/>
      </c>
      <c r="I24" s="212" t="str">
        <f t="shared" si="4"/>
        <v/>
      </c>
      <c r="J24" s="217" cm="1">
        <f t="array" ref="J24">_xlfn.IFNA(_xlfn.XLOOKUP(D24&amp;B24,DataFeed!A7:A251&amp;DataFeed!B7:B251,DataFeed!F7:F251)," ")</f>
        <v>0</v>
      </c>
      <c r="K24" s="209" cm="1">
        <f t="array" ref="K24">_xlfn.IFNA(_xlfn.XLOOKUP(D24&amp;B24,DataFeed!A7:A251&amp;DataFeed!B7:B251,DataFeed!I7:I251)," ")</f>
        <v>0</v>
      </c>
      <c r="L24" s="55"/>
      <c r="M24" s="55"/>
      <c r="N24" s="209" cm="1">
        <f t="array" ref="N24">_xlfn.IFNA(_xlfn.XLOOKUP(D24&amp;B24,DataFeed!A7:A251&amp;DataFeed!B7:B251,DataFeed!J7:J251)," ")</f>
        <v>0</v>
      </c>
      <c r="O24" s="209" cm="1">
        <f t="array" ref="O24">_xlfn.IFNA(_xlfn.XLOOKUP(D24&amp;B24,DataFeed!A7:A251&amp;DataFeed!B7:B251,DataFeed!G7:G251)," ")</f>
        <v>0</v>
      </c>
      <c r="P24" s="314" t="str">
        <f t="shared" si="5"/>
        <v/>
      </c>
      <c r="Q24" s="120" t="e">
        <f t="shared" si="2"/>
        <v>#DIV/0!</v>
      </c>
      <c r="R24" s="322"/>
    </row>
    <row r="25" spans="1:18" s="1" customFormat="1" ht="22.5" customHeight="1" x14ac:dyDescent="0.25">
      <c r="A25" s="321"/>
      <c r="B25" s="41"/>
      <c r="C25" s="215" cm="1">
        <f t="array" ref="C25">_xlfn.IFNA(_xlfn.XLOOKUP(D25&amp;B25,DataFeed!A8:A252&amp;DataFeed!B8:B252,DataFeed!C8:C252)," ")</f>
        <v>0</v>
      </c>
      <c r="D25" s="175"/>
      <c r="E25" s="78" t="s">
        <v>80</v>
      </c>
      <c r="F25" s="43"/>
      <c r="G25" s="88"/>
      <c r="H25" s="216" t="str">
        <f t="shared" si="3"/>
        <v/>
      </c>
      <c r="I25" s="212" t="str">
        <f t="shared" si="4"/>
        <v/>
      </c>
      <c r="J25" s="217" cm="1">
        <f t="array" ref="J25">_xlfn.IFNA(_xlfn.XLOOKUP(D25&amp;B25,DataFeed!A8:A252&amp;DataFeed!B8:B252,DataFeed!F8:F252)," ")</f>
        <v>0</v>
      </c>
      <c r="K25" s="209" cm="1">
        <f t="array" ref="K25">_xlfn.IFNA(_xlfn.XLOOKUP(D25&amp;B25,DataFeed!A8:A252&amp;DataFeed!B8:B252,DataFeed!I8:I252)," ")</f>
        <v>0</v>
      </c>
      <c r="L25" s="55"/>
      <c r="M25" s="55"/>
      <c r="N25" s="209" cm="1">
        <f t="array" ref="N25">_xlfn.IFNA(_xlfn.XLOOKUP(D25&amp;B25,DataFeed!A8:A252&amp;DataFeed!B8:B252,DataFeed!J8:J252)," ")</f>
        <v>0</v>
      </c>
      <c r="O25" s="209" cm="1">
        <f t="array" ref="O25">_xlfn.IFNA(_xlfn.XLOOKUP(D25&amp;B25,DataFeed!A8:A252&amp;DataFeed!B8:B252,DataFeed!G8:G252)," ")</f>
        <v>0</v>
      </c>
      <c r="P25" s="314" t="str">
        <f t="shared" si="5"/>
        <v/>
      </c>
      <c r="Q25" s="120" t="e">
        <f t="shared" ref="Q25:Q28" si="6">IF(E25="GBP",G25,IF(E25="Euro",G25/F25,0))</f>
        <v>#DIV/0!</v>
      </c>
      <c r="R25" s="322"/>
    </row>
    <row r="26" spans="1:18" s="1" customFormat="1" ht="22.5" customHeight="1" x14ac:dyDescent="0.25">
      <c r="A26" s="321"/>
      <c r="B26" s="41"/>
      <c r="C26" s="215" cm="1">
        <f t="array" ref="C26">_xlfn.IFNA(_xlfn.XLOOKUP(D26&amp;B26,DataFeed!A9:A253&amp;DataFeed!B9:B253,DataFeed!C9:C253)," ")</f>
        <v>0</v>
      </c>
      <c r="D26" s="175"/>
      <c r="E26" s="78" t="s">
        <v>80</v>
      </c>
      <c r="F26" s="43"/>
      <c r="G26" s="88"/>
      <c r="H26" s="216" t="str">
        <f t="shared" si="3"/>
        <v/>
      </c>
      <c r="I26" s="212" t="str">
        <f t="shared" si="4"/>
        <v/>
      </c>
      <c r="J26" s="217" cm="1">
        <f t="array" ref="J26">_xlfn.IFNA(_xlfn.XLOOKUP(D26&amp;B26,DataFeed!A9:A253&amp;DataFeed!B9:B253,DataFeed!F9:F253)," ")</f>
        <v>0</v>
      </c>
      <c r="K26" s="209" cm="1">
        <f t="array" ref="K26">_xlfn.IFNA(_xlfn.XLOOKUP(D26&amp;B26,DataFeed!A9:A253&amp;DataFeed!B9:B253,DataFeed!I9:I253)," ")</f>
        <v>0</v>
      </c>
      <c r="L26" s="55"/>
      <c r="M26" s="55"/>
      <c r="N26" s="209" cm="1">
        <f t="array" ref="N26">_xlfn.IFNA(_xlfn.XLOOKUP(D26&amp;B26,DataFeed!A9:A253&amp;DataFeed!B9:B253,DataFeed!J9:J253)," ")</f>
        <v>0</v>
      </c>
      <c r="O26" s="209" cm="1">
        <f t="array" ref="O26">_xlfn.IFNA(_xlfn.XLOOKUP(D26&amp;B26,DataFeed!A9:A253&amp;DataFeed!B9:B253,DataFeed!G9:G253)," ")</f>
        <v>0</v>
      </c>
      <c r="P26" s="314" t="str">
        <f t="shared" si="5"/>
        <v/>
      </c>
      <c r="Q26" s="120" t="e">
        <f t="shared" si="6"/>
        <v>#DIV/0!</v>
      </c>
      <c r="R26" s="322"/>
    </row>
    <row r="27" spans="1:18" s="1" customFormat="1" ht="22.5" customHeight="1" x14ac:dyDescent="0.25">
      <c r="A27" s="321"/>
      <c r="B27" s="41"/>
      <c r="C27" s="215" cm="1">
        <f t="array" ref="C27">_xlfn.IFNA(_xlfn.XLOOKUP(D27&amp;B27,DataFeed!A10:A254&amp;DataFeed!B10:B254,DataFeed!C10:C254)," ")</f>
        <v>0</v>
      </c>
      <c r="D27" s="175"/>
      <c r="E27" s="78" t="s">
        <v>80</v>
      </c>
      <c r="F27" s="43"/>
      <c r="G27" s="88"/>
      <c r="H27" s="216" t="str">
        <f t="shared" si="3"/>
        <v/>
      </c>
      <c r="I27" s="212" t="str">
        <f t="shared" si="4"/>
        <v/>
      </c>
      <c r="J27" s="217" cm="1">
        <f t="array" ref="J27">_xlfn.IFNA(_xlfn.XLOOKUP(D27&amp;B27,DataFeed!A10:A254&amp;DataFeed!B10:B254,DataFeed!F10:F254)," ")</f>
        <v>0</v>
      </c>
      <c r="K27" s="209" cm="1">
        <f t="array" ref="K27">_xlfn.IFNA(_xlfn.XLOOKUP(D27&amp;B27,DataFeed!A10:A254&amp;DataFeed!B10:B254,DataFeed!I10:I254)," ")</f>
        <v>0</v>
      </c>
      <c r="L27" s="55"/>
      <c r="M27" s="55"/>
      <c r="N27" s="209" cm="1">
        <f t="array" ref="N27">_xlfn.IFNA(_xlfn.XLOOKUP(D27&amp;B27,DataFeed!A10:A254&amp;DataFeed!B10:B254,DataFeed!J10:J254)," ")</f>
        <v>0</v>
      </c>
      <c r="O27" s="209" cm="1">
        <f t="array" ref="O27">_xlfn.IFNA(_xlfn.XLOOKUP(D27&amp;B27,DataFeed!A10:A254&amp;DataFeed!B10:B254,DataFeed!G10:G254)," ")</f>
        <v>0</v>
      </c>
      <c r="P27" s="314" t="str">
        <f t="shared" si="5"/>
        <v/>
      </c>
      <c r="Q27" s="120" t="e">
        <f t="shared" si="6"/>
        <v>#DIV/0!</v>
      </c>
      <c r="R27" s="322"/>
    </row>
    <row r="28" spans="1:18" s="1" customFormat="1" ht="22.5" customHeight="1" x14ac:dyDescent="0.25">
      <c r="A28" s="321"/>
      <c r="B28" s="41"/>
      <c r="C28" s="215" cm="1">
        <f t="array" ref="C28">_xlfn.IFNA(_xlfn.XLOOKUP(D28&amp;B28,DataFeed!A11:A255&amp;DataFeed!B11:B255,DataFeed!C11:C255)," ")</f>
        <v>0</v>
      </c>
      <c r="D28" s="175"/>
      <c r="E28" s="78" t="s">
        <v>80</v>
      </c>
      <c r="F28" s="43"/>
      <c r="G28" s="88"/>
      <c r="H28" s="216" t="str">
        <f t="shared" si="3"/>
        <v/>
      </c>
      <c r="I28" s="212" t="str">
        <f t="shared" si="4"/>
        <v/>
      </c>
      <c r="J28" s="217" cm="1">
        <f t="array" ref="J28">_xlfn.IFNA(_xlfn.XLOOKUP(D28&amp;B28,DataFeed!A11:A255&amp;DataFeed!B11:B255,DataFeed!F11:F255)," ")</f>
        <v>0</v>
      </c>
      <c r="K28" s="209" cm="1">
        <f t="array" ref="K28">_xlfn.IFNA(_xlfn.XLOOKUP(D28&amp;B28,DataFeed!A11:A255&amp;DataFeed!B11:B255,DataFeed!I11:I255)," ")</f>
        <v>0</v>
      </c>
      <c r="L28" s="55"/>
      <c r="M28" s="55"/>
      <c r="N28" s="209" cm="1">
        <f t="array" ref="N28">_xlfn.IFNA(_xlfn.XLOOKUP(D28&amp;B28,DataFeed!A11:A255&amp;DataFeed!B11:B255,DataFeed!J11:J255)," ")</f>
        <v>0</v>
      </c>
      <c r="O28" s="209" cm="1">
        <f t="array" ref="O28">_xlfn.IFNA(_xlfn.XLOOKUP(D28&amp;B28,DataFeed!A11:A255&amp;DataFeed!B11:B255,DataFeed!G11:G255)," ")</f>
        <v>0</v>
      </c>
      <c r="P28" s="314" t="str">
        <f t="shared" si="5"/>
        <v/>
      </c>
      <c r="Q28" s="120" t="e">
        <f t="shared" si="6"/>
        <v>#DIV/0!</v>
      </c>
      <c r="R28" s="322"/>
    </row>
    <row r="29" spans="1:18" s="1" customFormat="1" ht="16.5" thickBot="1" x14ac:dyDescent="0.3">
      <c r="A29" s="321"/>
      <c r="B29" s="116"/>
      <c r="C29" s="307"/>
      <c r="D29" s="307"/>
      <c r="E29" s="307"/>
      <c r="F29" s="307"/>
      <c r="G29" s="307"/>
      <c r="H29" s="307"/>
      <c r="I29" s="307"/>
      <c r="J29" s="307"/>
      <c r="K29" s="307"/>
      <c r="L29" s="307"/>
      <c r="M29" s="307"/>
      <c r="N29" s="307"/>
      <c r="O29" s="314"/>
      <c r="P29" s="314"/>
      <c r="Q29" s="115"/>
      <c r="R29" s="322"/>
    </row>
    <row r="30" spans="1:18" s="1" customFormat="1" ht="24" thickBot="1" x14ac:dyDescent="0.4">
      <c r="A30" s="321"/>
      <c r="B30" s="122" t="s">
        <v>25</v>
      </c>
      <c r="C30" s="305"/>
      <c r="D30" s="307"/>
      <c r="E30" s="307"/>
      <c r="F30" s="307"/>
      <c r="G30" s="307"/>
      <c r="H30" s="307"/>
      <c r="I30" s="307"/>
      <c r="J30" s="307"/>
      <c r="K30" s="307"/>
      <c r="L30" s="307"/>
      <c r="M30" s="307"/>
      <c r="N30" s="307"/>
      <c r="O30" s="314"/>
      <c r="P30" s="314"/>
      <c r="Q30" s="115"/>
      <c r="R30" s="322"/>
    </row>
    <row r="31" spans="1:18" s="1" customFormat="1" ht="15.75" x14ac:dyDescent="0.25">
      <c r="A31" s="321"/>
      <c r="B31" s="116"/>
      <c r="C31" s="307"/>
      <c r="D31" s="307"/>
      <c r="E31" s="307"/>
      <c r="F31" s="307"/>
      <c r="G31" s="307"/>
      <c r="H31" s="307"/>
      <c r="I31" s="307"/>
      <c r="J31" s="307"/>
      <c r="K31" s="307"/>
      <c r="L31" s="307"/>
      <c r="M31" s="307"/>
      <c r="N31" s="307"/>
      <c r="O31" s="314"/>
      <c r="P31" s="314"/>
      <c r="Q31" s="115"/>
      <c r="R31" s="322"/>
    </row>
    <row r="32" spans="1:18" s="1" customFormat="1" ht="47.25" x14ac:dyDescent="0.25">
      <c r="A32" s="321"/>
      <c r="B32" s="33" t="s">
        <v>26</v>
      </c>
      <c r="C32" s="73" t="s">
        <v>0</v>
      </c>
      <c r="D32" s="7" t="s">
        <v>63</v>
      </c>
      <c r="E32" s="7" t="s">
        <v>30</v>
      </c>
      <c r="F32" s="7" t="s">
        <v>56</v>
      </c>
      <c r="G32" s="7" t="s">
        <v>57</v>
      </c>
      <c r="H32" s="7" t="s">
        <v>31</v>
      </c>
      <c r="I32" s="7" t="s">
        <v>17</v>
      </c>
      <c r="J32" s="7" t="s">
        <v>59</v>
      </c>
      <c r="K32" s="7" t="s">
        <v>58</v>
      </c>
      <c r="L32" s="7" t="s">
        <v>35</v>
      </c>
      <c r="M32" s="7" t="s">
        <v>61</v>
      </c>
      <c r="N32" s="7" t="s">
        <v>62</v>
      </c>
      <c r="O32" s="7" t="s">
        <v>60</v>
      </c>
      <c r="P32" s="307"/>
      <c r="Q32" s="115"/>
      <c r="R32" s="322"/>
    </row>
    <row r="33" spans="1:18" s="1" customFormat="1" ht="18" customHeight="1" x14ac:dyDescent="0.25">
      <c r="A33" s="321"/>
      <c r="B33" s="49">
        <f>B19</f>
        <v>0</v>
      </c>
      <c r="C33" s="376">
        <f>C19</f>
        <v>0</v>
      </c>
      <c r="D33" s="65" t="e">
        <f t="shared" ref="D33:D42" si="7">(J19/1000)*(K19*O19)/$C$10</f>
        <v>#DIV/0!</v>
      </c>
      <c r="E33" s="60" t="e">
        <f>IF($C$7="Full Duty",((K19*O19)/1000)*(VLOOKUP(P19,Workings!$F$2:$I$22,4,FALSE)),((D33*0.06%)+(D33+F33))*(_xlfn.IFNA((VLOOKUP(P19,Workings!$F$2:$I$22,4,FALSE)),0)))</f>
        <v>#DIV/0!</v>
      </c>
      <c r="F33" s="60">
        <f t="shared" ref="F33:F42" si="8">IF($L19="FOB",$C$14/$C$10,0)</f>
        <v>0</v>
      </c>
      <c r="G33" s="60">
        <f>IF(B19="",0,($C$13)+(_xlfn.IFNA(VLOOKUP($C$11,Workings!$N$2:$O$9,2,FALSE),0)+((((O19*K19)+((N19*K19)*0.5))/1000)*9.94)+(IF(OR($C$11="AGT",$C$11="Seafrigo",$C$11="FAR LOGISTICS",$C$11="EWL"),(VLOOKUP($C$12,Workings!$B$12:$E$22,4,FALSE))))))</f>
        <v>0</v>
      </c>
      <c r="H33" s="60">
        <f t="shared" ref="H33:H42" si="9">IF(AND($C$7="Licence",M19&lt;&gt;"Veg",M19&lt;&gt;"Spring Roll &amp; Samosa",M19&lt;&gt;"Onion Bhajis"),$C$15*(K19*O19),0)</f>
        <v>0</v>
      </c>
      <c r="I33" s="60">
        <f>IF(B19="",0,IF($C$9="Yes",((8.95+1.95+7.95)*33),0))</f>
        <v>0</v>
      </c>
      <c r="J33" s="60">
        <f t="shared" ref="J33:J42" si="10">IF(B19="",0,IF($C$8="No",(475+150+770),0))</f>
        <v>0</v>
      </c>
      <c r="K33" s="65" t="e">
        <f>IF($C$8="Yes",0,IF($C$7="Full Duty",0,IF(M19="Veg",0,IF(_xlfn.IFNA(VLOOKUP($P19,Workings!$F$4:$I$17,4,FALSE),0)&lt;=11%,((D33*100.06%)+F33)*(11%-(_xlfn.IFNA(VLOOKUP($P19,Workings!$F$4:$I$17,4,FALSE),0)))))))</f>
        <v>#DIV/0!</v>
      </c>
      <c r="L33" s="60" t="e">
        <f>D33+E33+F33+G33+H33+I33+J33+K33+C16</f>
        <v>#DIV/0!</v>
      </c>
      <c r="M33" s="60">
        <f t="shared" ref="M33:M42" si="11">IFERROR(L33/K19,0)</f>
        <v>0</v>
      </c>
      <c r="N33" s="60">
        <f t="shared" ref="N33:N42" si="12">IFERROR(L33/(O19*K19),0)</f>
        <v>0</v>
      </c>
      <c r="O33" s="66">
        <f t="shared" ref="O33:O42" si="13">IFERROR((Q19-M33)/Q19,0)</f>
        <v>0</v>
      </c>
      <c r="P33" s="307"/>
      <c r="Q33" s="115"/>
      <c r="R33" s="322"/>
    </row>
    <row r="34" spans="1:18" s="1" customFormat="1" ht="18" customHeight="1" x14ac:dyDescent="0.25">
      <c r="A34" s="321"/>
      <c r="B34" s="41">
        <f t="shared" ref="B34:C42" si="14">B20</f>
        <v>0</v>
      </c>
      <c r="C34" s="377">
        <f>C20</f>
        <v>0</v>
      </c>
      <c r="D34" s="67" t="e">
        <f t="shared" si="7"/>
        <v>#DIV/0!</v>
      </c>
      <c r="E34" s="61" t="e">
        <f>IF($C$7="Full Duty",((K20*O20)/1000)*(VLOOKUP(P20,Workings!$F$2:$I$22,4,FALSE)),((D34*0.06%)+(D34+F34))*(_xlfn.IFNA((VLOOKUP(P20,Workings!$F$2:$I$22,4,FALSE)),0)))</f>
        <v>#DIV/0!</v>
      </c>
      <c r="F34" s="61">
        <f t="shared" si="8"/>
        <v>0</v>
      </c>
      <c r="G34" s="61">
        <f>IF(B20="",0,($C$13)+(_xlfn.IFNA(VLOOKUP($C$11,Workings!$N$2:$O$9,2,FALSE),0)+((((O20*K20)+((N20*K20)*0.5))/1000)*9.94)+(IF(OR($C$11="AGT",$C$11="Seafrigo",$C$11="FAR LOGISTICS",$C$11="EWL"),(VLOOKUP($C$12,Workings!$B$12:$E$22,4,FALSE))))))</f>
        <v>0</v>
      </c>
      <c r="H34" s="61">
        <f t="shared" si="9"/>
        <v>0</v>
      </c>
      <c r="I34" s="61">
        <f t="shared" ref="I34:I42" si="15">IF(B20="",0,IF($E$9="Yes",((8.95+1.95+7.95)*33),0))</f>
        <v>0</v>
      </c>
      <c r="J34" s="61">
        <f t="shared" si="10"/>
        <v>0</v>
      </c>
      <c r="K34" s="67" t="e">
        <f>IF($C$8="Yes",0,IF($C$7="Full Duty",0,IF(M20="Veg",0,IF(_xlfn.IFNA(VLOOKUP($P20,Workings!$F$4:$I$17,4,FALSE),0)&lt;=11%,((D34*100.06%)+F34)*(11%-(_xlfn.IFNA(VLOOKUP($P20,Workings!$F$4:$I$17,4,FALSE),0)))))))</f>
        <v>#DIV/0!</v>
      </c>
      <c r="L34" s="61" t="e">
        <f>D34+E34+F34+G34+H34+I34+J34+K34+C16</f>
        <v>#DIV/0!</v>
      </c>
      <c r="M34" s="61">
        <f t="shared" si="11"/>
        <v>0</v>
      </c>
      <c r="N34" s="61">
        <f t="shared" si="12"/>
        <v>0</v>
      </c>
      <c r="O34" s="62">
        <f t="shared" si="13"/>
        <v>0</v>
      </c>
      <c r="P34" s="307"/>
      <c r="Q34" s="115"/>
      <c r="R34" s="322"/>
    </row>
    <row r="35" spans="1:18" s="1" customFormat="1" ht="18" customHeight="1" x14ac:dyDescent="0.25">
      <c r="A35" s="321"/>
      <c r="B35" s="49">
        <f t="shared" si="14"/>
        <v>0</v>
      </c>
      <c r="C35" s="376">
        <f>C21</f>
        <v>0</v>
      </c>
      <c r="D35" s="65" t="e">
        <f t="shared" si="7"/>
        <v>#DIV/0!</v>
      </c>
      <c r="E35" s="60" t="e">
        <f>IF($C$7="Full Duty",((K21*O21)/1000)*(VLOOKUP(P21,Workings!$F$2:$I$22,4,FALSE)),((D35*0.06%)+(D35+F35))*(_xlfn.IFNA((VLOOKUP(P21,Workings!$F$2:$I$22,4,FALSE)),0)))</f>
        <v>#DIV/0!</v>
      </c>
      <c r="F35" s="60">
        <f t="shared" si="8"/>
        <v>0</v>
      </c>
      <c r="G35" s="60">
        <f>IF(B21="",0,($C$13)+(_xlfn.IFNA(VLOOKUP($C$11,Workings!$N$2:$O$9,2,FALSE),0)+((((O21*K21)+((N21*K21)*0.5))/1000)*9.94)+(IF(OR($C$11="AGT",$C$11="Seafrigo",$C$11="FAR LOGISTICS",$C$11="EWL"),(VLOOKUP($C$12,Workings!$B$12:$E$22,4,FALSE))))))</f>
        <v>0</v>
      </c>
      <c r="H35" s="60">
        <f t="shared" si="9"/>
        <v>0</v>
      </c>
      <c r="I35" s="60">
        <f t="shared" si="15"/>
        <v>0</v>
      </c>
      <c r="J35" s="60">
        <f t="shared" si="10"/>
        <v>0</v>
      </c>
      <c r="K35" s="65" t="e">
        <f>IF($C$8="Yes",0,IF($C$7="Full Duty",0,IF(M21="Veg",0,IF(_xlfn.IFNA(VLOOKUP($P21,Workings!$F$4:$I$17,4,FALSE),0)&lt;=11%,((D35*100.06%)+F35)*(11%-(_xlfn.IFNA(VLOOKUP($P21,Workings!$F$4:$I$17,4,FALSE),0)))))))</f>
        <v>#DIV/0!</v>
      </c>
      <c r="L35" s="60" t="e">
        <f>D35+E35+F35+G35+H35+I35+J35+K35+C16</f>
        <v>#DIV/0!</v>
      </c>
      <c r="M35" s="60">
        <f t="shared" si="11"/>
        <v>0</v>
      </c>
      <c r="N35" s="60">
        <f t="shared" si="12"/>
        <v>0</v>
      </c>
      <c r="O35" s="66">
        <f t="shared" si="13"/>
        <v>0</v>
      </c>
      <c r="P35" s="307"/>
      <c r="Q35" s="115"/>
      <c r="R35" s="322"/>
    </row>
    <row r="36" spans="1:18" s="1" customFormat="1" ht="18" customHeight="1" x14ac:dyDescent="0.25">
      <c r="A36" s="321"/>
      <c r="B36" s="41">
        <f t="shared" si="14"/>
        <v>0</v>
      </c>
      <c r="C36" s="377">
        <f t="shared" si="14"/>
        <v>0</v>
      </c>
      <c r="D36" s="67" t="e">
        <f t="shared" si="7"/>
        <v>#DIV/0!</v>
      </c>
      <c r="E36" s="61" t="e">
        <f>IF($C$7="Full Duty",((K22*O22)/1000)*(VLOOKUP(P22,Workings!$F$2:$I$22,4,FALSE)),((D36*0.06%)+(D36+F36))*(_xlfn.IFNA((VLOOKUP(P22,Workings!$F$2:$I$22,4,FALSE)),0)))</f>
        <v>#DIV/0!</v>
      </c>
      <c r="F36" s="61">
        <f t="shared" si="8"/>
        <v>0</v>
      </c>
      <c r="G36" s="61">
        <f>IF(B22="",0,($C$13)+(_xlfn.IFNA(VLOOKUP($C$11,Workings!$N$2:$O$9,2,FALSE),0)+((((O22*K22)+((N22*K22)*0.5))/1000)*9.94)+(IF(OR($C$11="AGT",$C$11="Seafrigo",$C$11="FAR LOGISTICS",$C$11="EWL"),(VLOOKUP($C$12,Workings!$B$12:$E$22,4,FALSE))))))</f>
        <v>0</v>
      </c>
      <c r="H36" s="61">
        <f t="shared" si="9"/>
        <v>0</v>
      </c>
      <c r="I36" s="61">
        <f t="shared" si="15"/>
        <v>0</v>
      </c>
      <c r="J36" s="61">
        <f t="shared" si="10"/>
        <v>0</v>
      </c>
      <c r="K36" s="67" t="e">
        <f>IF($C$8="Yes",0,IF($C$7="Full Duty",0,IF(M22="Veg",0,IF(_xlfn.IFNA(VLOOKUP($P22,Workings!$F$4:$I$17,4,FALSE),0)&lt;=11%,((D36*100.06%)+F36)*(11%-(_xlfn.IFNA(VLOOKUP($P22,Workings!$F$4:$I$17,4,FALSE),0)))))))</f>
        <v>#DIV/0!</v>
      </c>
      <c r="L36" s="61" t="e">
        <f>D36+E36+F36+G36+H36+I36+J36+K36+C16</f>
        <v>#DIV/0!</v>
      </c>
      <c r="M36" s="61">
        <f t="shared" si="11"/>
        <v>0</v>
      </c>
      <c r="N36" s="61">
        <f t="shared" si="12"/>
        <v>0</v>
      </c>
      <c r="O36" s="62">
        <f t="shared" si="13"/>
        <v>0</v>
      </c>
      <c r="P36" s="307"/>
      <c r="Q36" s="115"/>
      <c r="R36" s="322"/>
    </row>
    <row r="37" spans="1:18" s="1" customFormat="1" ht="18" customHeight="1" x14ac:dyDescent="0.25">
      <c r="A37" s="321"/>
      <c r="B37" s="49">
        <f t="shared" si="14"/>
        <v>0</v>
      </c>
      <c r="C37" s="376">
        <f t="shared" si="14"/>
        <v>0</v>
      </c>
      <c r="D37" s="65" t="e">
        <f t="shared" si="7"/>
        <v>#DIV/0!</v>
      </c>
      <c r="E37" s="60" t="e">
        <f>IF($C$7="Full Duty",((K23*O23)/1000)*(VLOOKUP(P23,Workings!$F$2:$I$22,4,FALSE)),((D37*0.06%)+(D37+F37))*(_xlfn.IFNA((VLOOKUP(P23,Workings!$F$2:$I$22,4,FALSE)),0)))</f>
        <v>#DIV/0!</v>
      </c>
      <c r="F37" s="60">
        <f t="shared" si="8"/>
        <v>0</v>
      </c>
      <c r="G37" s="60">
        <f>IF(B23="",0,($C$13)+(_xlfn.IFNA(VLOOKUP($C$11,Workings!$N$2:$O$9,2,FALSE),0)+((((O23*K23)+((N23*K23)*0.5))/1000)*9.94)+(IF(OR($C$11="AGT",$C$11="Seafrigo",$C$11="FAR LOGISTICS",$C$11="EWL"),(VLOOKUP($C$12,Workings!$B$12:$E$22,4,FALSE))))))</f>
        <v>0</v>
      </c>
      <c r="H37" s="60">
        <f t="shared" si="9"/>
        <v>0</v>
      </c>
      <c r="I37" s="60">
        <f t="shared" si="15"/>
        <v>0</v>
      </c>
      <c r="J37" s="60">
        <f t="shared" si="10"/>
        <v>0</v>
      </c>
      <c r="K37" s="65" t="e">
        <f>IF($C$8="Yes",0,IF($C$7="Full Duty",0,IF(M23="Veg",0,IF(_xlfn.IFNA(VLOOKUP($P23,Workings!$F$4:$I$17,4,FALSE),0)&lt;=11%,((D37*100.06%)+F37)*(11%-(_xlfn.IFNA(VLOOKUP($P23,Workings!$F$4:$I$17,4,FALSE),0)))))))</f>
        <v>#DIV/0!</v>
      </c>
      <c r="L37" s="60" t="e">
        <f>D37+E37+F37+G37+H37+I37+J37+K37+C16</f>
        <v>#DIV/0!</v>
      </c>
      <c r="M37" s="60">
        <f t="shared" si="11"/>
        <v>0</v>
      </c>
      <c r="N37" s="60">
        <f t="shared" si="12"/>
        <v>0</v>
      </c>
      <c r="O37" s="66">
        <f t="shared" si="13"/>
        <v>0</v>
      </c>
      <c r="P37" s="307"/>
      <c r="Q37" s="115"/>
      <c r="R37" s="322"/>
    </row>
    <row r="38" spans="1:18" s="1" customFormat="1" ht="18" customHeight="1" x14ac:dyDescent="0.25">
      <c r="A38" s="321"/>
      <c r="B38" s="41">
        <f t="shared" si="14"/>
        <v>0</v>
      </c>
      <c r="C38" s="377">
        <f t="shared" si="14"/>
        <v>0</v>
      </c>
      <c r="D38" s="67" t="e">
        <f t="shared" si="7"/>
        <v>#DIV/0!</v>
      </c>
      <c r="E38" s="61" t="e">
        <f>IF($C$7="Full Duty",((K24*O24)/1000)*(VLOOKUP(P24,Workings!$F$2:$I$22,4,FALSE)),((D38*0.06%)+(D38+F38))*(_xlfn.IFNA((VLOOKUP(P24,Workings!$F$2:$I$22,4,FALSE)),0)))</f>
        <v>#DIV/0!</v>
      </c>
      <c r="F38" s="61">
        <f t="shared" si="8"/>
        <v>0</v>
      </c>
      <c r="G38" s="61">
        <f>IF(B24="",0,($C$13)+(_xlfn.IFNA(VLOOKUP($C$11,Workings!$N$2:$O$9,2,FALSE),0)+((((O24*K24)+((N24*K24)*0.5))/1000)*9.94)+(IF(OR($C$11="AGT",$C$11="Seafrigo",$C$11="FAR LOGISTICS",$C$11="EWL"),(VLOOKUP($C$12,Workings!$B$12:$E$22,4,FALSE))))))</f>
        <v>0</v>
      </c>
      <c r="H38" s="61">
        <f t="shared" si="9"/>
        <v>0</v>
      </c>
      <c r="I38" s="61">
        <f t="shared" si="15"/>
        <v>0</v>
      </c>
      <c r="J38" s="61">
        <f t="shared" si="10"/>
        <v>0</v>
      </c>
      <c r="K38" s="67" t="e">
        <f>IF($C$8="Yes",0,IF($C$7="Full Duty",0,IF(M24="Veg",0,IF(_xlfn.IFNA(VLOOKUP($P24,Workings!$F$4:$I$17,4,FALSE),0)&lt;=11%,((D38*100.06%)+F38)*(11%-(_xlfn.IFNA(VLOOKUP($P24,Workings!$F$4:$I$17,4,FALSE),0)))))))</f>
        <v>#DIV/0!</v>
      </c>
      <c r="L38" s="61" t="e">
        <f>D38+E38+F38+G38+H38+I38+J38+K38+C16</f>
        <v>#DIV/0!</v>
      </c>
      <c r="M38" s="61">
        <f t="shared" si="11"/>
        <v>0</v>
      </c>
      <c r="N38" s="61">
        <f t="shared" si="12"/>
        <v>0</v>
      </c>
      <c r="O38" s="62">
        <f t="shared" si="13"/>
        <v>0</v>
      </c>
      <c r="P38" s="307"/>
      <c r="Q38" s="115"/>
      <c r="R38" s="322"/>
    </row>
    <row r="39" spans="1:18" s="1" customFormat="1" ht="18" customHeight="1" x14ac:dyDescent="0.25">
      <c r="A39" s="321"/>
      <c r="B39" s="49">
        <f t="shared" si="14"/>
        <v>0</v>
      </c>
      <c r="C39" s="376">
        <f t="shared" si="14"/>
        <v>0</v>
      </c>
      <c r="D39" s="65" t="e">
        <f t="shared" si="7"/>
        <v>#DIV/0!</v>
      </c>
      <c r="E39" s="60" t="e">
        <f>IF($C$7="Full Duty",((K25*O25)/1000)*(VLOOKUP(P25,Workings!$F$2:$I$22,4,FALSE)),((D39*0.06%)+(D39+F39))*(_xlfn.IFNA((VLOOKUP(P25,Workings!$F$2:$I$22,4,FALSE)),0)))</f>
        <v>#DIV/0!</v>
      </c>
      <c r="F39" s="60">
        <f t="shared" si="8"/>
        <v>0</v>
      </c>
      <c r="G39" s="60">
        <f>IF(B25="",0,($C$13)+(_xlfn.IFNA(VLOOKUP($C$11,Workings!$N$2:$O$9,2,FALSE),0)+((((O25*K25)+((N25*K25)*0.5))/1000)*9.94)+(IF(OR($C$11="AGT",$C$11="Seafrigo",$C$11="FAR LOGISTICS",$C$11="EWL"),(VLOOKUP($C$12,Workings!$B$12:$E$22,4,FALSE))))))</f>
        <v>0</v>
      </c>
      <c r="H39" s="60">
        <f t="shared" si="9"/>
        <v>0</v>
      </c>
      <c r="I39" s="60">
        <f t="shared" si="15"/>
        <v>0</v>
      </c>
      <c r="J39" s="60">
        <f t="shared" si="10"/>
        <v>0</v>
      </c>
      <c r="K39" s="65" t="e">
        <f>IF($C$8="Yes",0,IF($C$7="Full Duty",0,IF(M25="Veg",0,IF(_xlfn.IFNA(VLOOKUP($P25,Workings!$F$4:$I$17,4,FALSE),0)&lt;=11%,((D39*100.06%)+F39)*(11%-(_xlfn.IFNA(VLOOKUP($P25,Workings!$F$4:$I$17,4,FALSE),0)))))))</f>
        <v>#DIV/0!</v>
      </c>
      <c r="L39" s="60" t="e">
        <f>D39+E39+F39+G39+H39+I39+J39+K39+C16</f>
        <v>#DIV/0!</v>
      </c>
      <c r="M39" s="60">
        <f t="shared" si="11"/>
        <v>0</v>
      </c>
      <c r="N39" s="60">
        <f t="shared" si="12"/>
        <v>0</v>
      </c>
      <c r="O39" s="66">
        <f t="shared" si="13"/>
        <v>0</v>
      </c>
      <c r="P39" s="307"/>
      <c r="Q39" s="115"/>
      <c r="R39" s="322"/>
    </row>
    <row r="40" spans="1:18" s="1" customFormat="1" ht="18" customHeight="1" x14ac:dyDescent="0.25">
      <c r="A40" s="321"/>
      <c r="B40" s="41">
        <f t="shared" si="14"/>
        <v>0</v>
      </c>
      <c r="C40" s="377">
        <f t="shared" si="14"/>
        <v>0</v>
      </c>
      <c r="D40" s="67" t="e">
        <f t="shared" si="7"/>
        <v>#DIV/0!</v>
      </c>
      <c r="E40" s="61" t="e">
        <f>IF($C$7="Full Duty",((K26*O26)/1000)*(VLOOKUP(P26,Workings!$F$2:$I$22,4,FALSE)),((D40*0.06%)+(D40+F40))*(_xlfn.IFNA((VLOOKUP(P26,Workings!$F$2:$I$22,4,FALSE)),0)))</f>
        <v>#DIV/0!</v>
      </c>
      <c r="F40" s="61">
        <f t="shared" si="8"/>
        <v>0</v>
      </c>
      <c r="G40" s="61">
        <f>IF(B26="",0,($C$13)+(_xlfn.IFNA(VLOOKUP($C$11,Workings!$N$2:$O$9,2,FALSE),0)+((((O26*K26)+((N26*K26)*0.5))/1000)*9.94)+(IF(OR($C$11="AGT",$C$11="Seafrigo",$C$11="FAR LOGISTICS",$C$11="EWL"),(VLOOKUP($C$12,Workings!$B$12:$E$22,4,FALSE))))))</f>
        <v>0</v>
      </c>
      <c r="H40" s="61">
        <f t="shared" si="9"/>
        <v>0</v>
      </c>
      <c r="I40" s="61">
        <f t="shared" si="15"/>
        <v>0</v>
      </c>
      <c r="J40" s="61">
        <f t="shared" si="10"/>
        <v>0</v>
      </c>
      <c r="K40" s="67" t="e">
        <f>IF($C$8="Yes",0,IF($C$7="Full Duty",0,IF(M26="Veg",0,IF(_xlfn.IFNA(VLOOKUP($P26,Workings!$F$4:$I$17,4,FALSE),0)&lt;=11%,((D40*100.06%)+F40)*(11%-(_xlfn.IFNA(VLOOKUP($P26,Workings!$F$4:$I$17,4,FALSE),0)))))))</f>
        <v>#DIV/0!</v>
      </c>
      <c r="L40" s="61" t="e">
        <f>D40+E40+F40+G40+H40+I40+J40+K40+C16</f>
        <v>#DIV/0!</v>
      </c>
      <c r="M40" s="61">
        <f t="shared" si="11"/>
        <v>0</v>
      </c>
      <c r="N40" s="61">
        <f t="shared" si="12"/>
        <v>0</v>
      </c>
      <c r="O40" s="62">
        <f t="shared" si="13"/>
        <v>0</v>
      </c>
      <c r="P40" s="307"/>
      <c r="Q40" s="115"/>
      <c r="R40" s="322"/>
    </row>
    <row r="41" spans="1:18" s="1" customFormat="1" ht="18" customHeight="1" x14ac:dyDescent="0.25">
      <c r="A41" s="321"/>
      <c r="B41" s="49">
        <f t="shared" si="14"/>
        <v>0</v>
      </c>
      <c r="C41" s="376">
        <f t="shared" si="14"/>
        <v>0</v>
      </c>
      <c r="D41" s="65" t="e">
        <f t="shared" si="7"/>
        <v>#DIV/0!</v>
      </c>
      <c r="E41" s="60" t="e">
        <f>IF($C$7="Full Duty",((K27*O27)/1000)*(VLOOKUP(P27,Workings!$F$2:$I$22,4,FALSE)),((D41*0.06%)+(D41+F41))*(_xlfn.IFNA((VLOOKUP(P27,Workings!$F$2:$I$22,4,FALSE)),0)))</f>
        <v>#DIV/0!</v>
      </c>
      <c r="F41" s="60">
        <f t="shared" si="8"/>
        <v>0</v>
      </c>
      <c r="G41" s="60">
        <f>IF(B27="",0,($C$13)+(_xlfn.IFNA(VLOOKUP($C$11,Workings!$N$2:$O$9,2,FALSE),0)+((((O27*K27)+((N27*K27)*0.5))/1000)*9.94)+(IF(OR($C$11="AGT",$C$11="Seafrigo",$C$11="FAR LOGISTICS",$C$11="EWL"),(VLOOKUP($C$12,Workings!$B$12:$E$22,4,FALSE))))))</f>
        <v>0</v>
      </c>
      <c r="H41" s="60">
        <f t="shared" si="9"/>
        <v>0</v>
      </c>
      <c r="I41" s="60">
        <f t="shared" si="15"/>
        <v>0</v>
      </c>
      <c r="J41" s="60">
        <f t="shared" si="10"/>
        <v>0</v>
      </c>
      <c r="K41" s="65" t="e">
        <f>IF($C$8="Yes",0,IF($C$7="Full Duty",0,IF(M27="Veg",0,IF(_xlfn.IFNA(VLOOKUP($P27,Workings!$F$4:$I$17,4,FALSE),0)&lt;=11%,((D41*100.06%)+F41)*(11%-(_xlfn.IFNA(VLOOKUP($P27,Workings!$F$4:$I$17,4,FALSE),0)))))))</f>
        <v>#DIV/0!</v>
      </c>
      <c r="L41" s="60" t="e">
        <f>D41+E41+F41+G41+H41+I41+J41+K41+C16</f>
        <v>#DIV/0!</v>
      </c>
      <c r="M41" s="60">
        <f t="shared" si="11"/>
        <v>0</v>
      </c>
      <c r="N41" s="60">
        <f t="shared" si="12"/>
        <v>0</v>
      </c>
      <c r="O41" s="66">
        <f t="shared" si="13"/>
        <v>0</v>
      </c>
      <c r="P41" s="307"/>
      <c r="Q41" s="115"/>
      <c r="R41" s="322"/>
    </row>
    <row r="42" spans="1:18" s="1" customFormat="1" ht="18" customHeight="1" x14ac:dyDescent="0.25">
      <c r="A42" s="321"/>
      <c r="B42" s="41">
        <f t="shared" si="14"/>
        <v>0</v>
      </c>
      <c r="C42" s="377">
        <f t="shared" si="14"/>
        <v>0</v>
      </c>
      <c r="D42" s="67" t="e">
        <f t="shared" si="7"/>
        <v>#DIV/0!</v>
      </c>
      <c r="E42" s="61" t="e">
        <f>IF($C$7="Full Duty",((K28*O28)/1000)*(VLOOKUP(P28,Workings!$F$2:$I$22,4,FALSE)),((D42*0.06%)+(D42+F42))*(_xlfn.IFNA((VLOOKUP(P28,Workings!$F$2:$I$22,4,FALSE)),0)))</f>
        <v>#DIV/0!</v>
      </c>
      <c r="F42" s="61">
        <f t="shared" si="8"/>
        <v>0</v>
      </c>
      <c r="G42" s="61">
        <f>IF(B28="",0,($C$13)+(_xlfn.IFNA(VLOOKUP($C$11,Workings!$N$2:$O$9,2,FALSE),0)+((((O28*K28)+((N28*K28)*0.5))/1000)*9.94)+(IF(OR($C$11="AGT",$C$11="Seafrigo",$C$11="FAR LOGISTICS",$C$11="EWL"),(VLOOKUP($C$12,Workings!$B$12:$E$22,4,FALSE))))))</f>
        <v>0</v>
      </c>
      <c r="H42" s="61">
        <f t="shared" si="9"/>
        <v>0</v>
      </c>
      <c r="I42" s="61">
        <f t="shared" si="15"/>
        <v>0</v>
      </c>
      <c r="J42" s="61">
        <f t="shared" si="10"/>
        <v>0</v>
      </c>
      <c r="K42" s="67" t="e">
        <f>IF($C$8="Yes",0,IF($C$7="Full Duty",0,IF(M28="Veg",0,IF(_xlfn.IFNA(VLOOKUP($P28,Workings!$F$4:$I$17,4,FALSE),0)&lt;=11%,((D42*100.06%)+F42)*(11%-(_xlfn.IFNA(VLOOKUP($P28,Workings!$F$4:$I$17,4,FALSE),0)))))))</f>
        <v>#DIV/0!</v>
      </c>
      <c r="L42" s="61" t="e">
        <f>D42+E42+F42+G42+H42+I42+J42+K42+C16</f>
        <v>#DIV/0!</v>
      </c>
      <c r="M42" s="61">
        <f t="shared" si="11"/>
        <v>0</v>
      </c>
      <c r="N42" s="61">
        <f t="shared" si="12"/>
        <v>0</v>
      </c>
      <c r="O42" s="62">
        <f t="shared" si="13"/>
        <v>0</v>
      </c>
      <c r="P42" s="307"/>
      <c r="Q42" s="115"/>
      <c r="R42" s="322"/>
    </row>
    <row r="43" spans="1:18" x14ac:dyDescent="0.25">
      <c r="A43" s="319"/>
      <c r="B43" s="90"/>
      <c r="C43" s="304"/>
      <c r="D43" s="304"/>
      <c r="E43" s="304"/>
      <c r="F43" s="304"/>
      <c r="G43" s="304"/>
      <c r="H43" s="304"/>
      <c r="I43" s="304"/>
      <c r="J43" s="304"/>
      <c r="K43" s="304"/>
      <c r="L43" s="304"/>
      <c r="M43" s="304"/>
      <c r="N43" s="304"/>
      <c r="O43" s="304"/>
      <c r="P43" s="304"/>
      <c r="Q43" s="114"/>
      <c r="R43" s="320"/>
    </row>
    <row r="44" spans="1:18" ht="15.75" thickBot="1" x14ac:dyDescent="0.3">
      <c r="A44" s="319"/>
      <c r="B44" s="90"/>
      <c r="C44" s="304"/>
      <c r="D44" s="304"/>
      <c r="E44" s="304"/>
      <c r="F44" s="304"/>
      <c r="G44" s="304"/>
      <c r="H44" s="304"/>
      <c r="I44" s="304"/>
      <c r="J44" s="304"/>
      <c r="K44" s="304"/>
      <c r="L44" s="304"/>
      <c r="M44" s="304"/>
      <c r="N44" s="304"/>
      <c r="O44" s="304"/>
      <c r="P44" s="304"/>
      <c r="Q44" s="114"/>
      <c r="R44" s="320"/>
    </row>
    <row r="45" spans="1:18" ht="15.75" thickBot="1" x14ac:dyDescent="0.3">
      <c r="A45" s="319"/>
      <c r="B45" s="12" t="s">
        <v>88</v>
      </c>
      <c r="C45" s="304"/>
      <c r="D45" s="304"/>
      <c r="E45" s="304"/>
      <c r="F45" s="304"/>
      <c r="G45" s="304"/>
      <c r="H45" s="304"/>
      <c r="I45" s="304"/>
      <c r="J45" s="304"/>
      <c r="K45" s="304"/>
      <c r="L45" s="304"/>
      <c r="M45" s="304"/>
      <c r="N45" s="304"/>
      <c r="O45" s="304"/>
      <c r="P45" s="304"/>
      <c r="Q45" s="114"/>
      <c r="R45" s="320"/>
    </row>
    <row r="46" spans="1:18" ht="15.75" thickBot="1" x14ac:dyDescent="0.3">
      <c r="A46" s="319"/>
      <c r="B46" s="90"/>
      <c r="C46" s="304"/>
      <c r="D46" s="304"/>
      <c r="E46" s="304"/>
      <c r="F46" s="304"/>
      <c r="G46" s="304"/>
      <c r="H46" s="304"/>
      <c r="I46" s="304"/>
      <c r="J46" s="304"/>
      <c r="K46" s="304"/>
      <c r="L46" s="304"/>
      <c r="M46" s="304"/>
      <c r="N46" s="304"/>
      <c r="O46" s="304"/>
      <c r="P46" s="304"/>
      <c r="Q46" s="114"/>
      <c r="R46" s="320"/>
    </row>
    <row r="47" spans="1:18" ht="15.75" thickBot="1" x14ac:dyDescent="0.3">
      <c r="A47" s="319"/>
      <c r="B47" s="13" t="s">
        <v>56</v>
      </c>
      <c r="C47" s="14"/>
      <c r="D47" s="304"/>
      <c r="E47" s="304"/>
      <c r="F47" s="304"/>
      <c r="G47" s="304"/>
      <c r="H47" s="304"/>
      <c r="I47" s="304"/>
      <c r="J47" s="304"/>
      <c r="K47" s="304"/>
      <c r="L47" s="304"/>
      <c r="M47" s="304"/>
      <c r="N47" s="304"/>
      <c r="O47" s="304"/>
      <c r="P47" s="304"/>
      <c r="Q47" s="114"/>
      <c r="R47" s="320"/>
    </row>
    <row r="48" spans="1:18" ht="15.75" thickBot="1" x14ac:dyDescent="0.3">
      <c r="A48" s="319"/>
      <c r="B48" s="90"/>
      <c r="C48" s="327" t="s">
        <v>91</v>
      </c>
      <c r="D48" s="304"/>
      <c r="E48" s="304"/>
      <c r="F48" s="304"/>
      <c r="G48" s="304"/>
      <c r="H48" s="304"/>
      <c r="I48" s="304"/>
      <c r="J48" s="304"/>
      <c r="K48" s="304"/>
      <c r="L48" s="304"/>
      <c r="M48" s="304"/>
      <c r="N48" s="304"/>
      <c r="O48" s="304"/>
      <c r="P48" s="304"/>
      <c r="Q48" s="114"/>
      <c r="R48" s="320"/>
    </row>
    <row r="49" spans="1:18" x14ac:dyDescent="0.25">
      <c r="A49" s="319"/>
      <c r="B49" s="8" t="s">
        <v>89</v>
      </c>
      <c r="C49" s="11">
        <v>2200</v>
      </c>
      <c r="D49" s="304"/>
      <c r="E49" s="304"/>
      <c r="F49" s="304"/>
      <c r="G49" s="304"/>
      <c r="H49" s="304"/>
      <c r="I49" s="304"/>
      <c r="J49" s="304"/>
      <c r="K49" s="304"/>
      <c r="L49" s="304"/>
      <c r="M49" s="304"/>
      <c r="N49" s="304"/>
      <c r="O49" s="304"/>
      <c r="P49" s="304"/>
      <c r="Q49" s="114"/>
      <c r="R49" s="320"/>
    </row>
    <row r="50" spans="1:18" x14ac:dyDescent="0.25">
      <c r="A50" s="319"/>
      <c r="B50" s="90" t="s">
        <v>316</v>
      </c>
      <c r="C50" s="241">
        <v>3450</v>
      </c>
      <c r="D50" s="304"/>
      <c r="E50" s="304"/>
      <c r="F50" s="304"/>
      <c r="G50" s="304"/>
      <c r="H50" s="315"/>
      <c r="I50" s="304"/>
      <c r="J50" s="304"/>
      <c r="K50" s="304"/>
      <c r="L50" s="304"/>
      <c r="M50" s="304"/>
      <c r="N50" s="304"/>
      <c r="O50" s="304"/>
      <c r="P50" s="304"/>
      <c r="Q50" s="114"/>
      <c r="R50" s="320"/>
    </row>
    <row r="51" spans="1:18" ht="15.75" thickBot="1" x14ac:dyDescent="0.3">
      <c r="A51" s="319"/>
      <c r="B51" s="87" t="s">
        <v>49</v>
      </c>
      <c r="C51" s="242">
        <v>3400</v>
      </c>
      <c r="D51" s="304"/>
      <c r="E51" s="304"/>
      <c r="F51" s="304"/>
      <c r="G51" s="304"/>
      <c r="H51" s="304"/>
      <c r="I51" s="304"/>
      <c r="J51" s="304"/>
      <c r="K51" s="304"/>
      <c r="L51" s="304"/>
      <c r="M51" s="304"/>
      <c r="N51" s="304"/>
      <c r="O51" s="304"/>
      <c r="P51" s="304"/>
      <c r="Q51" s="114"/>
      <c r="R51" s="320"/>
    </row>
    <row r="52" spans="1:18" ht="15.75" thickBot="1" x14ac:dyDescent="0.3">
      <c r="A52" s="319"/>
      <c r="B52" s="90"/>
      <c r="C52" s="304"/>
      <c r="D52" s="304"/>
      <c r="E52" s="304"/>
      <c r="F52" s="304"/>
      <c r="G52" s="304"/>
      <c r="H52" s="304"/>
      <c r="I52" s="304"/>
      <c r="J52" s="304"/>
      <c r="K52" s="304"/>
      <c r="L52" s="304"/>
      <c r="M52" s="304"/>
      <c r="N52" s="304"/>
      <c r="O52" s="304"/>
      <c r="P52" s="304"/>
      <c r="Q52" s="114"/>
      <c r="R52" s="320"/>
    </row>
    <row r="53" spans="1:18" ht="15.75" thickBot="1" x14ac:dyDescent="0.3">
      <c r="A53" s="319"/>
      <c r="B53" s="13" t="s">
        <v>33</v>
      </c>
      <c r="C53" s="288" t="s">
        <v>48</v>
      </c>
      <c r="D53" s="288" t="s">
        <v>47</v>
      </c>
      <c r="E53" s="304"/>
      <c r="F53" s="304"/>
      <c r="G53" s="304"/>
      <c r="H53" s="304"/>
      <c r="I53" s="304"/>
      <c r="J53" s="304"/>
      <c r="K53" s="304"/>
      <c r="L53" s="304"/>
      <c r="M53" s="304"/>
      <c r="N53" s="304"/>
      <c r="O53" s="304"/>
      <c r="P53" s="304"/>
      <c r="Q53" s="114"/>
      <c r="R53" s="320"/>
    </row>
    <row r="54" spans="1:18" ht="15.75" thickBot="1" x14ac:dyDescent="0.3">
      <c r="A54" s="319"/>
      <c r="B54" s="90"/>
      <c r="C54" s="326" t="s">
        <v>90</v>
      </c>
      <c r="D54" s="326" t="s">
        <v>90</v>
      </c>
      <c r="E54" s="304"/>
      <c r="F54" s="304"/>
      <c r="G54" s="304"/>
      <c r="H54" s="304"/>
      <c r="I54" s="304"/>
      <c r="J54" s="304"/>
      <c r="K54" s="304"/>
      <c r="L54" s="304"/>
      <c r="M54" s="304"/>
      <c r="N54" s="304"/>
      <c r="O54" s="304"/>
      <c r="P54" s="304"/>
      <c r="Q54" s="114"/>
      <c r="R54" s="320"/>
    </row>
    <row r="55" spans="1:18" x14ac:dyDescent="0.25">
      <c r="A55" s="319"/>
      <c r="B55" s="297" t="s">
        <v>334</v>
      </c>
      <c r="C55" s="289">
        <f>675+25</f>
        <v>700</v>
      </c>
      <c r="D55" s="15">
        <f>675+25</f>
        <v>700</v>
      </c>
      <c r="E55" s="304"/>
      <c r="F55" s="304"/>
      <c r="G55" s="304"/>
      <c r="H55" s="304"/>
      <c r="I55" s="304"/>
      <c r="J55" s="304"/>
      <c r="K55" s="304"/>
      <c r="L55" s="304"/>
      <c r="M55" s="304"/>
      <c r="N55" s="304"/>
      <c r="O55" s="304"/>
      <c r="P55" s="304"/>
      <c r="Q55" s="114"/>
      <c r="R55" s="320"/>
    </row>
    <row r="56" spans="1:18" x14ac:dyDescent="0.25">
      <c r="A56" s="319"/>
      <c r="B56" s="296" t="s">
        <v>335</v>
      </c>
      <c r="C56" s="290">
        <f>840+25</f>
        <v>865</v>
      </c>
      <c r="D56" s="10">
        <f>965+25</f>
        <v>990</v>
      </c>
      <c r="E56" s="304"/>
      <c r="F56" s="304"/>
      <c r="G56" s="304"/>
      <c r="H56" s="304"/>
      <c r="I56" s="304"/>
      <c r="J56" s="304"/>
      <c r="K56" s="304"/>
      <c r="L56" s="304"/>
      <c r="M56" s="304"/>
      <c r="N56" s="304"/>
      <c r="O56" s="304"/>
      <c r="P56" s="304"/>
      <c r="Q56" s="114"/>
      <c r="R56" s="320"/>
    </row>
    <row r="57" spans="1:18" x14ac:dyDescent="0.25">
      <c r="A57" s="319"/>
      <c r="B57" s="298" t="s">
        <v>336</v>
      </c>
      <c r="C57" s="291">
        <f>690+25</f>
        <v>715</v>
      </c>
      <c r="D57" s="16">
        <f>465+25</f>
        <v>490</v>
      </c>
      <c r="E57" s="304"/>
      <c r="F57" s="304"/>
      <c r="G57" s="304"/>
      <c r="H57" s="304"/>
      <c r="I57" s="304"/>
      <c r="J57" s="304"/>
      <c r="K57" s="304"/>
      <c r="L57" s="304"/>
      <c r="M57" s="304"/>
      <c r="N57" s="304"/>
      <c r="O57" s="304"/>
      <c r="P57" s="304"/>
      <c r="Q57" s="114"/>
      <c r="R57" s="320"/>
    </row>
    <row r="58" spans="1:18" x14ac:dyDescent="0.25">
      <c r="A58" s="319"/>
      <c r="B58" s="298" t="s">
        <v>347</v>
      </c>
      <c r="C58" s="291">
        <f>720+25</f>
        <v>745</v>
      </c>
      <c r="D58" s="16">
        <f>510+25</f>
        <v>535</v>
      </c>
      <c r="E58" s="304"/>
      <c r="F58" s="304"/>
      <c r="G58" s="304"/>
      <c r="H58" s="304"/>
      <c r="I58" s="304"/>
      <c r="J58" s="304"/>
      <c r="K58" s="304"/>
      <c r="L58" s="304"/>
      <c r="M58" s="304"/>
      <c r="N58" s="304"/>
      <c r="O58" s="304"/>
      <c r="P58" s="304"/>
      <c r="Q58" s="114"/>
      <c r="R58" s="320"/>
    </row>
    <row r="59" spans="1:18" x14ac:dyDescent="0.25">
      <c r="A59" s="319"/>
      <c r="B59" s="296" t="s">
        <v>337</v>
      </c>
      <c r="C59" s="290">
        <f>890+25</f>
        <v>915</v>
      </c>
      <c r="D59" s="10">
        <f>1020+25</f>
        <v>1045</v>
      </c>
      <c r="E59" s="304"/>
      <c r="F59" s="304"/>
      <c r="G59" s="304"/>
      <c r="H59" s="304"/>
      <c r="I59" s="304"/>
      <c r="J59" s="304"/>
      <c r="K59" s="304"/>
      <c r="L59" s="304"/>
      <c r="M59" s="304"/>
      <c r="N59" s="304"/>
      <c r="O59" s="304"/>
      <c r="P59" s="304"/>
      <c r="Q59" s="114"/>
      <c r="R59" s="320"/>
    </row>
    <row r="60" spans="1:18" x14ac:dyDescent="0.25">
      <c r="A60" s="319"/>
      <c r="B60" s="298" t="s">
        <v>338</v>
      </c>
      <c r="C60" s="291">
        <f>580+25</f>
        <v>605</v>
      </c>
      <c r="D60" s="16">
        <f>740+25</f>
        <v>765</v>
      </c>
      <c r="E60" s="304"/>
      <c r="F60" s="304"/>
      <c r="G60" s="304"/>
      <c r="H60" s="304"/>
      <c r="I60" s="304"/>
      <c r="J60" s="304"/>
      <c r="K60" s="304"/>
      <c r="L60" s="304"/>
      <c r="M60" s="304"/>
      <c r="N60" s="304"/>
      <c r="O60" s="304"/>
      <c r="P60" s="304"/>
      <c r="Q60" s="114"/>
      <c r="R60" s="320"/>
    </row>
    <row r="61" spans="1:18" x14ac:dyDescent="0.25">
      <c r="A61" s="319"/>
      <c r="B61" s="296" t="s">
        <v>339</v>
      </c>
      <c r="C61" s="290">
        <f>640+25</f>
        <v>665</v>
      </c>
      <c r="D61" s="10">
        <f>635+25</f>
        <v>660</v>
      </c>
      <c r="E61" s="304"/>
      <c r="F61" s="304"/>
      <c r="G61" s="304"/>
      <c r="H61" s="304"/>
      <c r="I61" s="304"/>
      <c r="J61" s="304"/>
      <c r="K61" s="304"/>
      <c r="L61" s="304"/>
      <c r="M61" s="304"/>
      <c r="N61" s="304"/>
      <c r="O61" s="304"/>
      <c r="P61" s="304"/>
      <c r="Q61" s="114"/>
      <c r="R61" s="320"/>
    </row>
    <row r="62" spans="1:18" x14ac:dyDescent="0.25">
      <c r="A62" s="319"/>
      <c r="B62" s="298" t="s">
        <v>340</v>
      </c>
      <c r="C62" s="291">
        <f>980+25</f>
        <v>1005</v>
      </c>
      <c r="D62" s="16">
        <f>1065+25</f>
        <v>1090</v>
      </c>
      <c r="E62" s="304"/>
      <c r="F62" s="304"/>
      <c r="G62" s="304"/>
      <c r="H62" s="304"/>
      <c r="I62" s="304"/>
      <c r="J62" s="304"/>
      <c r="K62" s="304"/>
      <c r="L62" s="304"/>
      <c r="M62" s="304"/>
      <c r="N62" s="304"/>
      <c r="O62" s="304"/>
      <c r="P62" s="304"/>
      <c r="Q62" s="114"/>
      <c r="R62" s="320"/>
    </row>
    <row r="63" spans="1:18" x14ac:dyDescent="0.25">
      <c r="A63" s="319"/>
      <c r="B63" s="296" t="s">
        <v>341</v>
      </c>
      <c r="C63" s="290">
        <f>1030+25</f>
        <v>1055</v>
      </c>
      <c r="D63" s="10">
        <f>885+25</f>
        <v>910</v>
      </c>
      <c r="E63" s="304"/>
      <c r="F63" s="304"/>
      <c r="G63" s="304"/>
      <c r="H63" s="304"/>
      <c r="I63" s="304"/>
      <c r="J63" s="304"/>
      <c r="K63" s="304"/>
      <c r="L63" s="304"/>
      <c r="M63" s="304"/>
      <c r="N63" s="304"/>
      <c r="O63" s="304"/>
      <c r="P63" s="304"/>
      <c r="Q63" s="114"/>
      <c r="R63" s="320"/>
    </row>
    <row r="64" spans="1:18" x14ac:dyDescent="0.25">
      <c r="A64" s="319"/>
      <c r="B64" s="298" t="s">
        <v>342</v>
      </c>
      <c r="C64" s="291">
        <f>1290+25</f>
        <v>1315</v>
      </c>
      <c r="D64" s="16">
        <f>1280+25</f>
        <v>1305</v>
      </c>
      <c r="E64" s="304"/>
      <c r="F64" s="304"/>
      <c r="G64" s="304"/>
      <c r="H64" s="304"/>
      <c r="I64" s="304"/>
      <c r="J64" s="304"/>
      <c r="K64" s="304"/>
      <c r="L64" s="304"/>
      <c r="M64" s="304"/>
      <c r="N64" s="304"/>
      <c r="O64" s="304"/>
      <c r="P64" s="304"/>
      <c r="Q64" s="114"/>
      <c r="R64" s="320"/>
    </row>
    <row r="65" spans="1:18" x14ac:dyDescent="0.25">
      <c r="A65" s="319"/>
      <c r="B65" s="296" t="s">
        <v>343</v>
      </c>
      <c r="C65" s="290">
        <f>680+25</f>
        <v>705</v>
      </c>
      <c r="D65" s="10">
        <f>535+25</f>
        <v>560</v>
      </c>
      <c r="E65" s="304"/>
      <c r="F65" s="304"/>
      <c r="G65" s="304"/>
      <c r="H65" s="304"/>
      <c r="I65" s="304"/>
      <c r="J65" s="304"/>
      <c r="K65" s="304"/>
      <c r="L65" s="304"/>
      <c r="M65" s="304"/>
      <c r="N65" s="304"/>
      <c r="O65" s="304"/>
      <c r="P65" s="304"/>
      <c r="Q65" s="114"/>
      <c r="R65" s="320"/>
    </row>
    <row r="66" spans="1:18" ht="15" customHeight="1" x14ac:dyDescent="0.25">
      <c r="A66" s="319"/>
      <c r="B66" s="298" t="s">
        <v>344</v>
      </c>
      <c r="C66" s="291">
        <f>440+25</f>
        <v>465</v>
      </c>
      <c r="D66" s="16">
        <f>635+25</f>
        <v>660</v>
      </c>
      <c r="E66" s="304"/>
      <c r="F66" s="304"/>
      <c r="G66" s="304"/>
      <c r="H66" s="304"/>
      <c r="I66" s="304"/>
      <c r="J66" s="304"/>
      <c r="K66" s="304"/>
      <c r="L66" s="304"/>
      <c r="M66" s="304"/>
      <c r="N66" s="304"/>
      <c r="O66" s="304"/>
      <c r="P66" s="304"/>
      <c r="Q66" s="114"/>
      <c r="R66" s="320"/>
    </row>
    <row r="67" spans="1:18" x14ac:dyDescent="0.25">
      <c r="A67" s="319"/>
      <c r="B67" s="296" t="s">
        <v>345</v>
      </c>
      <c r="C67" s="290">
        <f>950+25</f>
        <v>975</v>
      </c>
      <c r="D67" s="10">
        <f>955+25</f>
        <v>980</v>
      </c>
      <c r="E67" s="304"/>
      <c r="F67" s="304"/>
      <c r="G67" s="304"/>
      <c r="H67" s="304"/>
      <c r="I67" s="304"/>
      <c r="J67" s="304"/>
      <c r="K67" s="304"/>
      <c r="L67" s="304"/>
      <c r="M67" s="304"/>
      <c r="N67" s="304"/>
      <c r="O67" s="304"/>
      <c r="P67" s="304"/>
      <c r="Q67" s="114"/>
      <c r="R67" s="320"/>
    </row>
    <row r="68" spans="1:18" x14ac:dyDescent="0.25">
      <c r="A68" s="319"/>
      <c r="B68" s="298" t="s">
        <v>346</v>
      </c>
      <c r="C68" s="291">
        <f>890+25</f>
        <v>915</v>
      </c>
      <c r="D68" s="16">
        <f>1020+25</f>
        <v>1045</v>
      </c>
      <c r="E68" s="304"/>
      <c r="F68" s="304"/>
      <c r="G68" s="304"/>
      <c r="H68" s="304"/>
      <c r="I68" s="304"/>
      <c r="J68" s="304"/>
      <c r="K68" s="304"/>
      <c r="L68" s="304"/>
      <c r="M68" s="304"/>
      <c r="N68" s="304"/>
      <c r="O68" s="304"/>
      <c r="P68" s="304"/>
      <c r="Q68" s="114"/>
      <c r="R68" s="320"/>
    </row>
    <row r="69" spans="1:18" x14ac:dyDescent="0.25">
      <c r="A69" s="319"/>
      <c r="B69" s="299" t="s">
        <v>102</v>
      </c>
      <c r="C69" s="294">
        <v>2435</v>
      </c>
      <c r="D69" s="295"/>
      <c r="E69" s="304"/>
      <c r="F69" s="304"/>
      <c r="G69" s="304"/>
      <c r="H69" s="304"/>
      <c r="I69" s="304"/>
      <c r="J69" s="304"/>
      <c r="K69" s="304"/>
      <c r="L69" s="304"/>
      <c r="M69" s="304"/>
      <c r="N69" s="304"/>
      <c r="O69" s="304"/>
      <c r="P69" s="304"/>
      <c r="Q69" s="114"/>
      <c r="R69" s="320"/>
    </row>
    <row r="70" spans="1:18" ht="15.75" thickBot="1" x14ac:dyDescent="0.3">
      <c r="A70" s="319"/>
      <c r="B70" s="300" t="s">
        <v>103</v>
      </c>
      <c r="C70" s="292">
        <v>1623</v>
      </c>
      <c r="D70" s="293"/>
      <c r="E70" s="117"/>
      <c r="F70" s="117"/>
      <c r="G70" s="117"/>
      <c r="H70" s="117"/>
      <c r="I70" s="117"/>
      <c r="J70" s="117"/>
      <c r="K70" s="117"/>
      <c r="L70" s="117"/>
      <c r="M70" s="117"/>
      <c r="N70" s="117"/>
      <c r="O70" s="117"/>
      <c r="P70" s="117"/>
      <c r="Q70" s="118"/>
      <c r="R70" s="320"/>
    </row>
    <row r="71" spans="1:18" ht="30" customHeight="1" thickBot="1" x14ac:dyDescent="0.3">
      <c r="A71" s="323"/>
      <c r="B71" s="324"/>
      <c r="C71" s="324"/>
      <c r="D71" s="324"/>
      <c r="E71" s="324"/>
      <c r="F71" s="324"/>
      <c r="G71" s="324"/>
      <c r="H71" s="324"/>
      <c r="I71" s="324"/>
      <c r="J71" s="324"/>
      <c r="K71" s="324"/>
      <c r="L71" s="324"/>
      <c r="M71" s="324"/>
      <c r="N71" s="324"/>
      <c r="O71" s="324"/>
      <c r="P71" s="324"/>
      <c r="Q71" s="324"/>
      <c r="R71" s="325"/>
    </row>
  </sheetData>
  <mergeCells count="6">
    <mergeCell ref="E17:I17"/>
    <mergeCell ref="B6:C6"/>
    <mergeCell ref="H11:L11"/>
    <mergeCell ref="H4:L5"/>
    <mergeCell ref="H6:L7"/>
    <mergeCell ref="H8:L9"/>
  </mergeCells>
  <printOptions horizontalCentered="1" verticalCentered="1"/>
  <pageMargins left="0.25" right="0.25" top="0.75" bottom="0.75" header="0.3" footer="0.3"/>
  <pageSetup paperSize="8" scale="55" orientation="landscape" verticalDpi="0" r:id="rId1"/>
  <ignoredErrors>
    <ignoredError sqref="D34:D42 D33 K33:K42 E33:E42 L33:L42" evalError="1"/>
  </ignoredErrors>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200-000000000000}">
          <x14:formula1>
            <xm:f>Workings!$B$6:$B$7</xm:f>
          </x14:formula1>
          <xm:sqref>C7:E7</xm:sqref>
        </x14:dataValidation>
        <x14:dataValidation type="list" allowBlank="1" showInputMessage="1" showErrorMessage="1" xr:uid="{00000000-0002-0000-0200-000001000000}">
          <x14:formula1>
            <xm:f>Workings!$C$6:$C$7</xm:f>
          </x14:formula1>
          <xm:sqref>C8:E9</xm:sqref>
        </x14:dataValidation>
        <x14:dataValidation type="list" allowBlank="1" showInputMessage="1" showErrorMessage="1" xr:uid="{00000000-0002-0000-0200-000002000000}">
          <x14:formula1>
            <xm:f>Workings!$N$6:$N$9</xm:f>
          </x14:formula1>
          <xm:sqref>C11:E11</xm:sqref>
        </x14:dataValidation>
        <x14:dataValidation type="list" allowBlank="1" showInputMessage="1" showErrorMessage="1" xr:uid="{00000000-0002-0000-0200-000003000000}">
          <x14:formula1>
            <xm:f>Workings!$B$13:$B$16</xm:f>
          </x14:formula1>
          <xm:sqref>D12:E12</xm:sqref>
        </x14:dataValidation>
        <x14:dataValidation type="list" allowBlank="1" showInputMessage="1" showErrorMessage="1" xr:uid="{00000000-0002-0000-0200-000004000000}">
          <x14:formula1>
            <xm:f>Workings!$D$6:$D$7</xm:f>
          </x14:formula1>
          <xm:sqref>L19:L28</xm:sqref>
        </x14:dataValidation>
        <x14:dataValidation type="list" allowBlank="1" showInputMessage="1" showErrorMessage="1" xr:uid="{00000000-0002-0000-0200-000005000000}">
          <x14:formula1>
            <xm:f>Workings!$E$6:$E$7</xm:f>
          </x14:formula1>
          <xm:sqref>E19:E28</xm:sqref>
        </x14:dataValidation>
        <x14:dataValidation type="list" allowBlank="1" showInputMessage="1" showErrorMessage="1" xr:uid="{00000000-0002-0000-0200-000006000000}">
          <x14:formula1>
            <xm:f>Workings!$A$6:$A$11</xm:f>
          </x14:formula1>
          <xm:sqref>M19:M28</xm:sqref>
        </x14:dataValidation>
        <x14:dataValidation type="list" allowBlank="1" xr:uid="{00000000-0002-0000-0200-000007000000}">
          <x14:formula1>
            <xm:f>Data!$A$1:$A$80</xm:f>
          </x14:formula1>
          <xm:sqref>B20:B28</xm:sqref>
        </x14:dataValidation>
        <x14:dataValidation type="list" allowBlank="1" xr:uid="{00000000-0002-0000-0200-000008000000}">
          <x14:formula1>
            <xm:f>Data!$A$1:$A$200</xm:f>
          </x14:formula1>
          <xm:sqref>B19</xm:sqref>
        </x14:dataValidation>
        <x14:dataValidation type="list" allowBlank="1" showInputMessage="1" showErrorMessage="1" xr:uid="{00000000-0002-0000-0200-000009000000}">
          <x14:formula1>
            <xm:f>Workings!$K$5:$K$14</xm:f>
          </x14:formula1>
          <xm:sqref>D19:D28</xm:sqref>
        </x14:dataValidation>
        <x14:dataValidation type="list" allowBlank="1" showInputMessage="1" showErrorMessage="1" xr:uid="{0AA21065-937A-427A-A1DD-3A22FE12B418}">
          <x14:formula1>
            <xm:f>Workings!$B$13:$B$23</xm:f>
          </x14:formula1>
          <xm:sqref>C12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5" tint="0.39997558519241921"/>
    <pageSetUpPr fitToPage="1"/>
  </sheetPr>
  <dimension ref="A1:V58"/>
  <sheetViews>
    <sheetView zoomScale="86" zoomScaleNormal="86" workbookViewId="0">
      <selection activeCell="D8" sqref="D8"/>
    </sheetView>
  </sheetViews>
  <sheetFormatPr defaultRowHeight="15" x14ac:dyDescent="0.25"/>
  <cols>
    <col min="1" max="1" width="5.7109375" customWidth="1"/>
    <col min="2" max="2" width="18.5703125" customWidth="1"/>
    <col min="3" max="3" width="34.5703125" customWidth="1"/>
    <col min="4" max="4" width="23.140625" customWidth="1"/>
    <col min="5" max="5" width="23" customWidth="1"/>
    <col min="6" max="6" width="18.5703125" customWidth="1"/>
    <col min="7" max="7" width="20.140625" customWidth="1"/>
    <col min="8" max="8" width="24.28515625" customWidth="1"/>
    <col min="9" max="9" width="17.140625" customWidth="1"/>
    <col min="10" max="10" width="16.7109375" customWidth="1"/>
    <col min="11" max="11" width="16.5703125" customWidth="1"/>
    <col min="12" max="12" width="16.140625" customWidth="1"/>
    <col min="13" max="14" width="12.85546875" customWidth="1"/>
    <col min="15" max="15" width="14.28515625" bestFit="1" customWidth="1"/>
    <col min="16" max="16" width="14.28515625" customWidth="1"/>
    <col min="18" max="18" width="10.42578125" customWidth="1"/>
    <col min="19" max="19" width="5.7109375" customWidth="1"/>
  </cols>
  <sheetData>
    <row r="1" spans="1:22" ht="37.5" customHeight="1" thickBot="1" x14ac:dyDescent="0.3">
      <c r="A1" s="138"/>
      <c r="B1" s="139"/>
      <c r="C1" s="139"/>
      <c r="D1" s="139"/>
      <c r="E1" s="139"/>
      <c r="F1" s="139"/>
      <c r="G1" s="139"/>
      <c r="H1" s="139"/>
      <c r="I1" s="139"/>
      <c r="J1" s="139"/>
      <c r="K1" s="139"/>
      <c r="L1" s="139"/>
      <c r="M1" s="139"/>
      <c r="N1" s="139"/>
      <c r="O1" s="139"/>
      <c r="P1" s="139"/>
      <c r="Q1" s="139"/>
      <c r="R1" s="139"/>
      <c r="S1" s="141"/>
    </row>
    <row r="2" spans="1:22" ht="23.25" x14ac:dyDescent="0.35">
      <c r="A2" s="142"/>
      <c r="B2" s="20"/>
      <c r="C2" s="21"/>
      <c r="D2" s="21"/>
      <c r="E2" s="21"/>
      <c r="F2" s="21"/>
      <c r="G2" s="21"/>
      <c r="H2" s="21"/>
      <c r="I2" s="22"/>
      <c r="J2" s="23"/>
      <c r="K2" s="23"/>
      <c r="L2" s="23"/>
      <c r="M2" s="23"/>
      <c r="N2" s="21"/>
      <c r="O2" s="21"/>
      <c r="P2" s="21"/>
      <c r="Q2" s="21"/>
      <c r="R2" s="24"/>
      <c r="S2" s="144"/>
    </row>
    <row r="3" spans="1:22" ht="24" thickBot="1" x14ac:dyDescent="0.4">
      <c r="A3" s="142"/>
      <c r="B3" s="25"/>
      <c r="C3" s="444"/>
      <c r="D3" s="444"/>
      <c r="E3" s="444"/>
      <c r="F3" s="444"/>
      <c r="G3" s="444"/>
      <c r="H3" s="444"/>
      <c r="I3" s="445"/>
      <c r="J3" s="446"/>
      <c r="K3" s="446"/>
      <c r="L3" s="446"/>
      <c r="M3" s="446"/>
      <c r="N3" s="444"/>
      <c r="O3" s="444"/>
      <c r="P3" s="444"/>
      <c r="Q3" s="444"/>
      <c r="R3" s="26"/>
      <c r="S3" s="144"/>
    </row>
    <row r="4" spans="1:22" ht="21.75" thickBot="1" x14ac:dyDescent="0.3">
      <c r="A4" s="142"/>
      <c r="B4" s="303"/>
      <c r="C4" s="148" t="s">
        <v>75</v>
      </c>
      <c r="D4" s="444"/>
      <c r="E4" s="444"/>
      <c r="F4" s="444"/>
      <c r="G4" s="444"/>
      <c r="H4" s="444"/>
      <c r="I4" s="218" t="s">
        <v>73</v>
      </c>
      <c r="J4" s="18"/>
      <c r="K4" s="18"/>
      <c r="L4" s="18"/>
      <c r="M4" s="18"/>
      <c r="N4" s="19"/>
      <c r="O4" s="444"/>
      <c r="P4" s="444"/>
      <c r="Q4" s="444"/>
      <c r="R4" s="26"/>
      <c r="S4" s="144"/>
    </row>
    <row r="5" spans="1:22" ht="15" customHeight="1" x14ac:dyDescent="0.25">
      <c r="A5" s="142"/>
      <c r="B5" s="9"/>
      <c r="C5" s="444"/>
      <c r="D5" s="444"/>
      <c r="E5" s="444"/>
      <c r="F5" s="444"/>
      <c r="G5" s="447"/>
      <c r="H5" s="447"/>
      <c r="I5" s="417" t="s">
        <v>74</v>
      </c>
      <c r="J5" s="448"/>
      <c r="K5" s="448"/>
      <c r="L5" s="448"/>
      <c r="M5" s="448"/>
      <c r="N5" s="418"/>
      <c r="O5" s="444"/>
      <c r="P5" s="444"/>
      <c r="Q5" s="444"/>
      <c r="R5" s="26"/>
      <c r="S5" s="144"/>
    </row>
    <row r="6" spans="1:22" ht="18.75" x14ac:dyDescent="0.3">
      <c r="A6" s="142"/>
      <c r="B6" s="419" t="s">
        <v>50</v>
      </c>
      <c r="C6" s="420"/>
      <c r="D6" s="449"/>
      <c r="E6" s="399" t="s">
        <v>9</v>
      </c>
      <c r="F6" s="400"/>
      <c r="G6" s="450"/>
      <c r="H6" s="447"/>
      <c r="I6" s="417"/>
      <c r="J6" s="448"/>
      <c r="K6" s="448"/>
      <c r="L6" s="448"/>
      <c r="M6" s="448"/>
      <c r="N6" s="418"/>
      <c r="O6" s="444"/>
      <c r="P6" s="444"/>
      <c r="Q6" s="444"/>
      <c r="R6" s="26"/>
      <c r="S6" s="144"/>
    </row>
    <row r="7" spans="1:22" ht="18.75" x14ac:dyDescent="0.3">
      <c r="A7" s="142"/>
      <c r="B7" s="260" t="s">
        <v>26</v>
      </c>
      <c r="C7" s="134"/>
      <c r="D7" s="449"/>
      <c r="E7" s="134" t="s">
        <v>10</v>
      </c>
      <c r="F7" s="134"/>
      <c r="G7" s="450"/>
      <c r="H7" s="451" t="str">
        <f>CONCATENATE(C9,F7)</f>
        <v/>
      </c>
      <c r="I7" s="417"/>
      <c r="J7" s="448"/>
      <c r="K7" s="448"/>
      <c r="L7" s="448"/>
      <c r="M7" s="448"/>
      <c r="N7" s="418"/>
      <c r="O7" s="444"/>
      <c r="P7" s="444"/>
      <c r="Q7" s="444"/>
      <c r="R7" s="26"/>
      <c r="S7" s="144"/>
    </row>
    <row r="8" spans="1:22" ht="37.5" customHeight="1" x14ac:dyDescent="0.3">
      <c r="A8" s="142"/>
      <c r="B8" s="261" t="s">
        <v>0</v>
      </c>
      <c r="C8" s="262"/>
      <c r="D8" s="449"/>
      <c r="E8" s="137" t="s">
        <v>16</v>
      </c>
      <c r="F8" s="137"/>
      <c r="G8" s="450"/>
      <c r="H8" s="447"/>
      <c r="I8" s="417" t="s">
        <v>317</v>
      </c>
      <c r="J8" s="448"/>
      <c r="K8" s="448"/>
      <c r="L8" s="448"/>
      <c r="M8" s="448"/>
      <c r="N8" s="418"/>
      <c r="O8" s="444"/>
      <c r="P8" s="444"/>
      <c r="Q8" s="444"/>
      <c r="R8" s="26"/>
      <c r="S8" s="144"/>
    </row>
    <row r="9" spans="1:22" ht="18.75" customHeight="1" x14ac:dyDescent="0.3">
      <c r="A9" s="142"/>
      <c r="B9" s="260" t="s">
        <v>1</v>
      </c>
      <c r="C9" s="134"/>
      <c r="D9" s="449"/>
      <c r="E9" s="134" t="s">
        <v>17</v>
      </c>
      <c r="F9" s="134"/>
      <c r="G9" s="450"/>
      <c r="H9" s="447"/>
      <c r="I9" s="417"/>
      <c r="J9" s="448"/>
      <c r="K9" s="448"/>
      <c r="L9" s="448"/>
      <c r="M9" s="448"/>
      <c r="N9" s="418"/>
      <c r="O9" s="444"/>
      <c r="P9" s="444"/>
      <c r="Q9" s="444"/>
      <c r="R9" s="26"/>
      <c r="S9" s="144"/>
    </row>
    <row r="10" spans="1:22" ht="19.5" thickBot="1" x14ac:dyDescent="0.35">
      <c r="A10" s="142"/>
      <c r="B10" s="261" t="s">
        <v>51</v>
      </c>
      <c r="C10" s="137"/>
      <c r="D10" s="449"/>
      <c r="E10" s="137" t="s">
        <v>100</v>
      </c>
      <c r="F10" s="252">
        <f>C11*J17</f>
        <v>0</v>
      </c>
      <c r="G10" s="450"/>
      <c r="H10" s="447"/>
      <c r="I10" s="421"/>
      <c r="J10" s="422"/>
      <c r="K10" s="422"/>
      <c r="L10" s="422"/>
      <c r="M10" s="422"/>
      <c r="N10" s="423"/>
      <c r="O10" s="444"/>
      <c r="P10" s="444"/>
      <c r="Q10" s="444"/>
      <c r="R10" s="26"/>
      <c r="S10" s="144"/>
    </row>
    <row r="11" spans="1:22" ht="18.75" x14ac:dyDescent="0.3">
      <c r="A11" s="142"/>
      <c r="B11" s="263" t="s">
        <v>71</v>
      </c>
      <c r="C11" s="135"/>
      <c r="D11" s="449"/>
      <c r="E11" s="372" t="s">
        <v>322</v>
      </c>
      <c r="F11" s="275">
        <f>IF(C9="Bao Bun", 17, 0)</f>
        <v>0</v>
      </c>
      <c r="G11" s="449"/>
      <c r="H11" s="450"/>
      <c r="I11" s="447"/>
      <c r="J11" s="444"/>
      <c r="K11" s="444"/>
      <c r="L11" s="444"/>
      <c r="M11" s="444"/>
      <c r="N11" s="444"/>
      <c r="O11" s="444"/>
      <c r="P11" s="444"/>
      <c r="Q11" s="444"/>
      <c r="R11" s="26"/>
      <c r="S11" s="144"/>
    </row>
    <row r="12" spans="1:22" ht="18.75" x14ac:dyDescent="0.3">
      <c r="A12" s="142"/>
      <c r="B12" s="261" t="s">
        <v>92</v>
      </c>
      <c r="C12" s="137"/>
      <c r="D12" s="449"/>
      <c r="E12" s="433" t="s">
        <v>529</v>
      </c>
      <c r="F12" s="439" t="str">
        <f>IFERROR(C26*0.25%,"")</f>
        <v/>
      </c>
      <c r="G12" s="449"/>
      <c r="H12" s="450"/>
      <c r="I12" s="447"/>
      <c r="J12" s="444"/>
      <c r="K12" s="444"/>
      <c r="L12" s="444"/>
      <c r="M12" s="444"/>
      <c r="N12" s="444"/>
      <c r="O12" s="444"/>
      <c r="P12" s="444"/>
      <c r="Q12" s="444"/>
      <c r="R12" s="26"/>
      <c r="S12" s="144"/>
    </row>
    <row r="13" spans="1:22" ht="18.75" x14ac:dyDescent="0.3">
      <c r="A13" s="142"/>
      <c r="B13" s="260" t="s">
        <v>93</v>
      </c>
      <c r="C13" s="136"/>
      <c r="D13" s="449"/>
      <c r="E13" s="449"/>
      <c r="F13" s="452"/>
      <c r="G13" s="449"/>
      <c r="H13" s="450"/>
      <c r="I13" s="447"/>
      <c r="J13" s="444"/>
      <c r="K13" s="444"/>
      <c r="L13" s="444"/>
      <c r="M13" s="444"/>
      <c r="N13" s="444"/>
      <c r="O13" s="444"/>
      <c r="P13" s="444"/>
      <c r="Q13" s="444"/>
      <c r="R13" s="26"/>
      <c r="S13" s="144"/>
    </row>
    <row r="14" spans="1:22" ht="15.75" thickBot="1" x14ac:dyDescent="0.3">
      <c r="A14" s="142"/>
      <c r="B14" s="9"/>
      <c r="C14" s="444"/>
      <c r="D14" s="444"/>
      <c r="E14" s="444"/>
      <c r="F14" s="444"/>
      <c r="G14" s="444"/>
      <c r="H14" s="447"/>
      <c r="I14" s="447"/>
      <c r="J14" s="444"/>
      <c r="K14" s="444"/>
      <c r="L14" s="444"/>
      <c r="M14" s="444"/>
      <c r="N14" s="444"/>
      <c r="O14" s="444"/>
      <c r="P14" s="444"/>
      <c r="Q14" s="444"/>
      <c r="R14" s="26"/>
      <c r="S14" s="144"/>
    </row>
    <row r="15" spans="1:22" ht="22.5" customHeight="1" x14ac:dyDescent="0.25">
      <c r="A15" s="142"/>
      <c r="B15" s="9"/>
      <c r="C15" s="424" t="s">
        <v>77</v>
      </c>
      <c r="D15" s="425"/>
      <c r="E15" s="425"/>
      <c r="F15" s="426"/>
      <c r="G15" s="427"/>
      <c r="H15" s="444"/>
      <c r="I15" s="444"/>
      <c r="J15" s="444"/>
      <c r="K15" s="444"/>
      <c r="L15" s="444"/>
      <c r="M15" s="444"/>
      <c r="N15" s="444"/>
      <c r="O15" s="444"/>
      <c r="P15" s="444"/>
      <c r="Q15" s="444"/>
      <c r="R15" s="26"/>
      <c r="S15" s="144"/>
    </row>
    <row r="16" spans="1:22" s="1" customFormat="1" ht="47.25" x14ac:dyDescent="0.25">
      <c r="A16" s="143"/>
      <c r="B16" s="28" t="s">
        <v>52</v>
      </c>
      <c r="C16" s="3" t="s">
        <v>78</v>
      </c>
      <c r="D16" s="4" t="s">
        <v>83</v>
      </c>
      <c r="E16" s="4" t="s">
        <v>84</v>
      </c>
      <c r="F16" s="63" t="s">
        <v>99</v>
      </c>
      <c r="G16" s="5" t="s">
        <v>95</v>
      </c>
      <c r="H16" s="6" t="s">
        <v>65</v>
      </c>
      <c r="I16" s="4" t="s">
        <v>318</v>
      </c>
      <c r="J16" s="4" t="s">
        <v>280</v>
      </c>
      <c r="K16" s="4" t="s">
        <v>319</v>
      </c>
      <c r="L16" s="4" t="s">
        <v>18</v>
      </c>
      <c r="M16" s="4" t="s">
        <v>64</v>
      </c>
      <c r="N16" s="4" t="s">
        <v>53</v>
      </c>
      <c r="O16" s="4" t="s">
        <v>40</v>
      </c>
      <c r="P16" s="4" t="s">
        <v>33</v>
      </c>
      <c r="Q16" s="4" t="s">
        <v>55</v>
      </c>
      <c r="R16" s="29" t="s">
        <v>54</v>
      </c>
      <c r="S16" s="145"/>
      <c r="T16" s="2"/>
      <c r="U16" s="2"/>
      <c r="V16" s="2"/>
    </row>
    <row r="17" spans="1:19" s="1" customFormat="1" ht="18.75" customHeight="1" x14ac:dyDescent="0.25">
      <c r="A17" s="143"/>
      <c r="B17" s="173">
        <v>1</v>
      </c>
      <c r="C17" s="243"/>
      <c r="D17" s="244"/>
      <c r="E17" s="244"/>
      <c r="F17" s="245" t="str">
        <f>IFERROR(E17/$C$10,"")</f>
        <v/>
      </c>
      <c r="G17" s="246" t="str">
        <f t="shared" ref="G17:G21" si="0">IFERROR(E17/$C$11,"")</f>
        <v/>
      </c>
      <c r="H17" s="247">
        <f>C13</f>
        <v>0</v>
      </c>
      <c r="I17" s="248"/>
      <c r="J17" s="124"/>
      <c r="K17" s="284">
        <f>(F11/1000)</f>
        <v>0</v>
      </c>
      <c r="L17" s="134"/>
      <c r="M17" s="249"/>
      <c r="N17" s="134"/>
      <c r="O17" s="134"/>
      <c r="P17" s="250"/>
      <c r="Q17" s="250">
        <v>0.4</v>
      </c>
      <c r="R17" s="30">
        <f>IF(C17="GBP",E17,IF(C17="Euro",E17/D17,0))</f>
        <v>0</v>
      </c>
      <c r="S17" s="146"/>
    </row>
    <row r="18" spans="1:19" s="1" customFormat="1" ht="18.75" customHeight="1" x14ac:dyDescent="0.25">
      <c r="A18" s="143"/>
      <c r="B18" s="174">
        <v>2</v>
      </c>
      <c r="C18" s="251"/>
      <c r="D18" s="252"/>
      <c r="E18" s="252"/>
      <c r="F18" s="253" t="str">
        <f>IFERROR(E18/$C$10,"")</f>
        <v/>
      </c>
      <c r="G18" s="254" t="str">
        <f t="shared" si="0"/>
        <v/>
      </c>
      <c r="H18" s="255">
        <f>C13</f>
        <v>0</v>
      </c>
      <c r="I18" s="256"/>
      <c r="J18" s="125"/>
      <c r="K18" s="285">
        <f>(F11/1000)</f>
        <v>0</v>
      </c>
      <c r="L18" s="137"/>
      <c r="M18" s="257"/>
      <c r="N18" s="137"/>
      <c r="O18" s="137"/>
      <c r="P18" s="258"/>
      <c r="Q18" s="258">
        <v>0.4</v>
      </c>
      <c r="R18" s="30">
        <f>IF(C18="GBP",E18,IF(C18="Euro",E18/D18,0))</f>
        <v>0</v>
      </c>
      <c r="S18" s="146"/>
    </row>
    <row r="19" spans="1:19" s="1" customFormat="1" ht="18.75" customHeight="1" x14ac:dyDescent="0.25">
      <c r="A19" s="143"/>
      <c r="B19" s="173">
        <v>3</v>
      </c>
      <c r="C19" s="243"/>
      <c r="D19" s="244"/>
      <c r="E19" s="244"/>
      <c r="F19" s="259" t="str">
        <f>IFERROR(E19/$C$10,"")</f>
        <v/>
      </c>
      <c r="G19" s="246" t="str">
        <f t="shared" si="0"/>
        <v/>
      </c>
      <c r="H19" s="247">
        <f>C13</f>
        <v>0</v>
      </c>
      <c r="I19" s="248"/>
      <c r="J19" s="124"/>
      <c r="K19" s="284">
        <f>(F11/1000)</f>
        <v>0</v>
      </c>
      <c r="L19" s="134"/>
      <c r="M19" s="249"/>
      <c r="N19" s="134"/>
      <c r="O19" s="134"/>
      <c r="P19" s="250"/>
      <c r="Q19" s="250">
        <v>0.4</v>
      </c>
      <c r="R19" s="30">
        <f>IF(C19="GBP",E19,IF(C19="Euro",E19/D19,0))</f>
        <v>0</v>
      </c>
      <c r="S19" s="146"/>
    </row>
    <row r="20" spans="1:19" s="1" customFormat="1" ht="18.75" customHeight="1" x14ac:dyDescent="0.25">
      <c r="A20" s="143"/>
      <c r="B20" s="174">
        <v>4</v>
      </c>
      <c r="C20" s="251"/>
      <c r="D20" s="252"/>
      <c r="E20" s="252"/>
      <c r="F20" s="253" t="str">
        <f>IFERROR(E20/$C$10,"")</f>
        <v/>
      </c>
      <c r="G20" s="254" t="str">
        <f t="shared" si="0"/>
        <v/>
      </c>
      <c r="H20" s="255">
        <f>C13</f>
        <v>0</v>
      </c>
      <c r="I20" s="256"/>
      <c r="J20" s="125"/>
      <c r="K20" s="285">
        <f>(F11/1000)</f>
        <v>0</v>
      </c>
      <c r="L20" s="137"/>
      <c r="M20" s="257"/>
      <c r="N20" s="137"/>
      <c r="O20" s="137"/>
      <c r="P20" s="258"/>
      <c r="Q20" s="258">
        <v>0.4</v>
      </c>
      <c r="R20" s="30">
        <f>IF(C20="GBP",E20,IF(C20="Euro",E20/D20,0))</f>
        <v>0</v>
      </c>
      <c r="S20" s="146"/>
    </row>
    <row r="21" spans="1:19" s="1" customFormat="1" ht="18.75" customHeight="1" x14ac:dyDescent="0.25">
      <c r="A21" s="143"/>
      <c r="B21" s="173">
        <v>5</v>
      </c>
      <c r="C21" s="243"/>
      <c r="D21" s="244"/>
      <c r="E21" s="244"/>
      <c r="F21" s="259" t="str">
        <f>IFERROR(E21/$C$10,"")</f>
        <v/>
      </c>
      <c r="G21" s="246" t="str">
        <f t="shared" si="0"/>
        <v/>
      </c>
      <c r="H21" s="247">
        <f>C13</f>
        <v>0</v>
      </c>
      <c r="I21" s="248"/>
      <c r="J21" s="124"/>
      <c r="K21" s="284">
        <f>(F11/1000)</f>
        <v>0</v>
      </c>
      <c r="L21" s="134"/>
      <c r="M21" s="249"/>
      <c r="N21" s="134"/>
      <c r="O21" s="134"/>
      <c r="P21" s="250"/>
      <c r="Q21" s="250">
        <v>0.4</v>
      </c>
      <c r="R21" s="30">
        <f>IF(C21="GBP",E21,IF(C21="Euro",E21/D21,0))</f>
        <v>0</v>
      </c>
      <c r="S21" s="146"/>
    </row>
    <row r="22" spans="1:19" s="1" customFormat="1" ht="16.5" thickBot="1" x14ac:dyDescent="0.3">
      <c r="A22" s="143"/>
      <c r="B22" s="31"/>
      <c r="C22" s="449"/>
      <c r="D22" s="449"/>
      <c r="E22" s="449"/>
      <c r="F22" s="449"/>
      <c r="G22" s="449"/>
      <c r="H22" s="449"/>
      <c r="I22" s="449"/>
      <c r="J22" s="449"/>
      <c r="K22" s="449"/>
      <c r="L22" s="449"/>
      <c r="M22" s="449"/>
      <c r="N22" s="449"/>
      <c r="O22" s="449"/>
      <c r="P22" s="449"/>
      <c r="Q22" s="449"/>
      <c r="R22" s="26"/>
      <c r="S22" s="147"/>
    </row>
    <row r="23" spans="1:19" s="1" customFormat="1" ht="24" thickBot="1" x14ac:dyDescent="0.4">
      <c r="A23" s="143"/>
      <c r="B23" s="27"/>
      <c r="C23" s="149" t="s">
        <v>25</v>
      </c>
      <c r="D23" s="449"/>
      <c r="E23" s="449"/>
      <c r="F23" s="449"/>
      <c r="G23" s="449"/>
      <c r="H23" s="449"/>
      <c r="I23" s="449"/>
      <c r="J23" s="449"/>
      <c r="K23" s="449"/>
      <c r="L23" s="449"/>
      <c r="M23" s="449"/>
      <c r="N23" s="449"/>
      <c r="O23" s="449"/>
      <c r="P23" s="449"/>
      <c r="Q23" s="449"/>
      <c r="R23" s="26"/>
      <c r="S23" s="147"/>
    </row>
    <row r="24" spans="1:19" s="1" customFormat="1" ht="15.75" x14ac:dyDescent="0.25">
      <c r="A24" s="143"/>
      <c r="B24" s="31"/>
      <c r="C24" s="449"/>
      <c r="D24" s="449"/>
      <c r="E24" s="449"/>
      <c r="F24" s="449"/>
      <c r="G24" s="449"/>
      <c r="H24" s="449"/>
      <c r="I24" s="449"/>
      <c r="J24" s="449"/>
      <c r="K24" s="449"/>
      <c r="L24" s="449"/>
      <c r="M24" s="449"/>
      <c r="N24" s="449"/>
      <c r="O24" s="449"/>
      <c r="P24" s="449"/>
      <c r="Q24" s="449"/>
      <c r="R24" s="26"/>
      <c r="S24" s="147"/>
    </row>
    <row r="25" spans="1:19" s="1" customFormat="1" ht="47.25" x14ac:dyDescent="0.25">
      <c r="A25" s="143"/>
      <c r="B25" s="33" t="s">
        <v>52</v>
      </c>
      <c r="C25" s="7" t="s">
        <v>63</v>
      </c>
      <c r="D25" s="7" t="s">
        <v>30</v>
      </c>
      <c r="E25" s="7" t="s">
        <v>56</v>
      </c>
      <c r="F25" s="7" t="s">
        <v>57</v>
      </c>
      <c r="G25" s="7" t="s">
        <v>31</v>
      </c>
      <c r="H25" s="7" t="s">
        <v>17</v>
      </c>
      <c r="I25" s="7" t="s">
        <v>59</v>
      </c>
      <c r="J25" s="7" t="s">
        <v>58</v>
      </c>
      <c r="K25" s="7" t="s">
        <v>324</v>
      </c>
      <c r="L25" s="7" t="s">
        <v>35</v>
      </c>
      <c r="M25" s="7" t="s">
        <v>61</v>
      </c>
      <c r="N25" s="7" t="s">
        <v>62</v>
      </c>
      <c r="O25" s="7" t="s">
        <v>60</v>
      </c>
      <c r="P25" s="449"/>
      <c r="Q25" s="449"/>
      <c r="R25" s="26"/>
      <c r="S25" s="147"/>
    </row>
    <row r="26" spans="1:19" s="1" customFormat="1" ht="18.75" customHeight="1" x14ac:dyDescent="0.25">
      <c r="A26" s="143"/>
      <c r="B26" s="126">
        <v>1</v>
      </c>
      <c r="C26" s="127" t="e">
        <f>((H17/1000)*($C$11*J17))/I17</f>
        <v>#DIV/0!</v>
      </c>
      <c r="D26" s="127" t="e">
        <f>IF($F$7="Full Duty",(($C$11*J17)/1000)*(VLOOKUP($H$7,Workings!$F$2:$I$17,4,FALSE)),((C26*0.06%)+(C26+E26))*(VLOOKUP($H$7,Workings!$F$2:$I$17,4,FALSE)))</f>
        <v>#DIV/0!</v>
      </c>
      <c r="E26" s="127">
        <f>IF($L$17="FOB",M17/I17,0)</f>
        <v>0</v>
      </c>
      <c r="F26" s="127">
        <f>(P17)+(_xlfn.IFNA(VLOOKUP(N17,Workings!$N$2:$O$9,2,FALSE),0)+(((($C$11*J17)+(($C$10*J17)*0.5))/1000)*10.29)+(IF(OR(N17="AGT",N17="Seafrigo",N17="FAR LOGISTICS",N17="EWL"),(VLOOKUP(O17,Workings!$B$12:$E$22,4,FALSE)))))</f>
        <v>0</v>
      </c>
      <c r="G26" s="127">
        <f>IF(AND($F$7="Licence",$C$9&lt;&gt;"veg",$C$9&lt;&gt;"Spring Roll &amp; Samosa",$C$9&lt;&gt;"Onion Bhajis"),Q17*(J17*$C$11),0)</f>
        <v>0</v>
      </c>
      <c r="H26" s="127">
        <f>IF(J17="",0,IF($F$9="Yes",((8.95+1.95+7.95)*33),0))</f>
        <v>0</v>
      </c>
      <c r="I26" s="127">
        <f>IF(J17="",0,IF($F$8="No",(475+150+770),0))</f>
        <v>0</v>
      </c>
      <c r="J26" s="128" t="e">
        <f>IF($F$8="Yes",0,IF($F$7="Full Duty",0,IF($C$9="Veg",0,IF(VLOOKUP($H$7,Workings!$F$2:$I$17,4,FALSE)&lt;=11%,((C26*100.06%)+E26)*(11%-VLOOKUP($H$7,Workings!$F$2:$I$17,4,FALSE))))))</f>
        <v>#N/A</v>
      </c>
      <c r="K26" s="128">
        <f>IF(AND(ISNUMBER(F10), ISNUMBER(F11)), (F10/100)*F11,"")</f>
        <v>0</v>
      </c>
      <c r="L26" s="442" t="e">
        <f>C26+D26+E26+F26+G26+H26+I26+J26+K26+F12</f>
        <v>#DIV/0!</v>
      </c>
      <c r="M26" s="127">
        <f>IFERROR(L26/J17,0)</f>
        <v>0</v>
      </c>
      <c r="N26" s="127">
        <f>IFERROR((L26/(J17*$C$11)),0)</f>
        <v>0</v>
      </c>
      <c r="O26" s="129">
        <f>IFERROR((R17-M26)/R17,0)</f>
        <v>0</v>
      </c>
      <c r="P26" s="449"/>
      <c r="Q26" s="449"/>
      <c r="R26" s="26"/>
      <c r="S26" s="147"/>
    </row>
    <row r="27" spans="1:19" s="1" customFormat="1" ht="18.75" customHeight="1" x14ac:dyDescent="0.25">
      <c r="A27" s="143"/>
      <c r="B27" s="130">
        <v>2</v>
      </c>
      <c r="C27" s="131" t="e">
        <f>((H18/1000)*($C$11*J18))/I18</f>
        <v>#DIV/0!</v>
      </c>
      <c r="D27" s="131" t="e">
        <f>IF($F$7="Full Duty",(($C$11*J18)/1000)*(VLOOKUP($H$7,Workings!$F$2:$I$17,4,FALSE)),((C27*0.06%)+(C27+E27))*(VLOOKUP($H$7,Workings!$F$2:$I$17,4,FALSE)))</f>
        <v>#DIV/0!</v>
      </c>
      <c r="E27" s="131">
        <f>IF($L$17="FOB",M18/I18,0)</f>
        <v>0</v>
      </c>
      <c r="F27" s="131">
        <f>(P18)+(_xlfn.IFNA(VLOOKUP(N18,Workings!$N$2:$O$9,2,FALSE),0)+(((($C$11*J18)+(($C$10*J18)*0.5))/1000)*10.29)+(IF(OR(N18="AGT",N18="Seafrigo",N18="FAR LOGISTICS",N18="EWL"),(VLOOKUP(O18,Workings!$B$12:$E$22,4,FALSE)))))</f>
        <v>0</v>
      </c>
      <c r="G27" s="131">
        <f>IF(AND($F$7="Licence",$C$9&lt;&gt;"veg",$C$9&lt;&gt;"Spring Roll &amp; Samosa",$C$9&lt;&gt;"Onion Bhajis"),Q18*(J18*$C$11),0)</f>
        <v>0</v>
      </c>
      <c r="H27" s="131">
        <f>IF(J18="",0,IF($F$9="Yes",((8.95+1.95+7.95)*33),0))</f>
        <v>0</v>
      </c>
      <c r="I27" s="131">
        <f>IF(J18="",0,IF($F$8="No",(475+150+770),0))</f>
        <v>0</v>
      </c>
      <c r="J27" s="132" t="e">
        <f>IF($F$8="Yes",0,IF($F$7="Full Duty",0,IF($C$9="Veg",0,IF(VLOOKUP($H$7,Workings!$F$2:$I$17,4,FALSE)&lt;=11%,((C27*100.06%)+E27)*(11%-VLOOKUP($H$7,Workings!$F$2:$I$17,4,FALSE))))))</f>
        <v>#N/A</v>
      </c>
      <c r="K27" s="132">
        <f>IF(AND(ISNUMBER(F10), ISNUMBER(F11)), (F10/100)*F11,"")</f>
        <v>0</v>
      </c>
      <c r="L27" s="443" t="e">
        <f>C27+D27+E27+F27+G27+H27+I27+J27+F12</f>
        <v>#DIV/0!</v>
      </c>
      <c r="M27" s="131">
        <f>IFERROR(L27/J18,0)</f>
        <v>0</v>
      </c>
      <c r="N27" s="131">
        <f>IFERROR((L27/(J18*$C$11)),0)</f>
        <v>0</v>
      </c>
      <c r="O27" s="133">
        <f t="shared" ref="O27:O30" si="1">IFERROR((R18-M27)/R18,0)</f>
        <v>0</v>
      </c>
      <c r="P27" s="449"/>
      <c r="Q27" s="449"/>
      <c r="R27" s="26"/>
      <c r="S27" s="147"/>
    </row>
    <row r="28" spans="1:19" s="1" customFormat="1" ht="18.75" customHeight="1" x14ac:dyDescent="0.25">
      <c r="A28" s="143"/>
      <c r="B28" s="126">
        <v>3</v>
      </c>
      <c r="C28" s="127" t="e">
        <f>((H19/1000)*($C$11*J19))/I19</f>
        <v>#DIV/0!</v>
      </c>
      <c r="D28" s="127" t="e">
        <f>IF($F$7="Full Duty",(($C$11*J19)/1000)*(VLOOKUP($H$7,Workings!$F$2:$I$17,4,FALSE)),((C28*0.06%)+(C28+E28))*(VLOOKUP($H$7,Workings!$F$2:$I$17,4,FALSE)))</f>
        <v>#DIV/0!</v>
      </c>
      <c r="E28" s="127">
        <f>IF($L$17="FOB",M19/I19,0)</f>
        <v>0</v>
      </c>
      <c r="F28" s="127">
        <f>(P19)+(_xlfn.IFNA(VLOOKUP(N19,Workings!$N$2:$O$9,2,FALSE),0)+(((($C$11*J19)+(($C$10*J19)*0.5))/1000)*10.29)+(IF(OR(N19="AGT",N19="Seafrigo",N19="FAR LOGISTICS",N19="EWL"),(VLOOKUP(O19,Workings!$B$12:$E$22,4,FALSE)))))</f>
        <v>0</v>
      </c>
      <c r="G28" s="127">
        <f>IF(AND($F$7="Licence",$C$9&lt;&gt;"veg",$C$9&lt;&gt;"Spring Roll &amp; Samosa",$C$9&lt;&gt;"Onion Bhajis"),Q19*(J19*$C$11),0)</f>
        <v>0</v>
      </c>
      <c r="H28" s="127">
        <f>IF(J19="",0,IF($F$9="Yes",((8.95+1.95+7.95)*33),0))</f>
        <v>0</v>
      </c>
      <c r="I28" s="127">
        <f>IF(J19="",0,IF($F$8="No",(475+150+770),0))</f>
        <v>0</v>
      </c>
      <c r="J28" s="128" t="e">
        <f>IF($F$8="Yes",0,IF($F$7="Full Duty",0,IF($C$9="Veg",0,IF(VLOOKUP($H$7,Workings!$F$2:$I$17,4,FALSE)&lt;=11%,((C28*100.06%)+E28)*(11%-VLOOKUP($H$7,Workings!$F$2:$I$17,4,FALSE))))))</f>
        <v>#N/A</v>
      </c>
      <c r="K28" s="128">
        <f>IF(AND(ISNUMBER(F10), ISNUMBER(F11)), (F10/100)*F11,"")</f>
        <v>0</v>
      </c>
      <c r="L28" s="442" t="e">
        <f>C28+D28+E28+F28+G28+H28+I28+J28+F12</f>
        <v>#DIV/0!</v>
      </c>
      <c r="M28" s="127">
        <f>IFERROR(L28/J19,0)</f>
        <v>0</v>
      </c>
      <c r="N28" s="127">
        <f>IFERROR((L28/(J19*$C$11)),0)</f>
        <v>0</v>
      </c>
      <c r="O28" s="129">
        <f t="shared" si="1"/>
        <v>0</v>
      </c>
      <c r="P28" s="449"/>
      <c r="Q28" s="449"/>
      <c r="R28" s="26"/>
      <c r="S28" s="147"/>
    </row>
    <row r="29" spans="1:19" s="1" customFormat="1" ht="18.75" customHeight="1" x14ac:dyDescent="0.25">
      <c r="A29" s="143"/>
      <c r="B29" s="130">
        <v>4</v>
      </c>
      <c r="C29" s="131" t="e">
        <f>((H20/1000)*($C$11*J20))/I20</f>
        <v>#DIV/0!</v>
      </c>
      <c r="D29" s="131" t="e">
        <f>IF($F$7="Full Duty",(($C$11*J20)/1000)*(VLOOKUP($H$7,Workings!$F$2:$I$17,4,FALSE)),((C29*0.06%)+(C29+E29))*(VLOOKUP($H$7,Workings!$F$2:$I$17,4,FALSE)))</f>
        <v>#DIV/0!</v>
      </c>
      <c r="E29" s="131">
        <f>IF($L$17="FOB",M20/I20,0)</f>
        <v>0</v>
      </c>
      <c r="F29" s="131">
        <f>(P20)+(_xlfn.IFNA(VLOOKUP(N20,Workings!$N$2:$O$9,2,FALSE),0)+(((($C$11*J20)+(($C$10*J20)*0.5))/1000)*10.29)+(IF(OR(N20="AGT",N20="Seafrigo",N20="FAR LOGISTICS",N20="EWL"),(VLOOKUP(O20,Workings!$B$12:$E$22,4,FALSE)))))</f>
        <v>0</v>
      </c>
      <c r="G29" s="131">
        <f>IF(AND($F$7="Licence",$C$9&lt;&gt;"veg",$C$9&lt;&gt;"Spring Roll &amp; Samosa",$C$9&lt;&gt;"Onion Bhajis"),Q20*(J20*$C$11),0)</f>
        <v>0</v>
      </c>
      <c r="H29" s="131">
        <f>IF(J20="",0,IF($F$9="Yes",((8.95+1.95+7.95)*33),0))</f>
        <v>0</v>
      </c>
      <c r="I29" s="131">
        <f>IF(J20="",0,IF($F$8="No",(475+150+770),0))</f>
        <v>0</v>
      </c>
      <c r="J29" s="132" t="e">
        <f>IF($F$8="Yes",0,IF($F$7="Full Duty",0,IF($C$9="Veg",0,IF(VLOOKUP($H$7,Workings!$F$2:$I$17,4,FALSE)&lt;=11%,((C29*100.06%)+E29)*(11%-VLOOKUP($H$7,Workings!$F$2:$I$17,4,FALSE))))))</f>
        <v>#N/A</v>
      </c>
      <c r="K29" s="132">
        <f>IF(AND(ISNUMBER(F10), ISNUMBER(F11)), (F10/100)*F11,"")</f>
        <v>0</v>
      </c>
      <c r="L29" s="443" t="e">
        <f>C29+D29+E29+F29+G29+H29+I29+J29+F12</f>
        <v>#DIV/0!</v>
      </c>
      <c r="M29" s="131">
        <f>IFERROR(L29/J20,0)</f>
        <v>0</v>
      </c>
      <c r="N29" s="131">
        <f>IFERROR((L29/(J20*$C$11)),0)</f>
        <v>0</v>
      </c>
      <c r="O29" s="133">
        <f t="shared" si="1"/>
        <v>0</v>
      </c>
      <c r="P29" s="449"/>
      <c r="Q29" s="449"/>
      <c r="R29" s="26"/>
      <c r="S29" s="147"/>
    </row>
    <row r="30" spans="1:19" s="1" customFormat="1" ht="18.75" customHeight="1" x14ac:dyDescent="0.25">
      <c r="A30" s="143"/>
      <c r="B30" s="126">
        <v>5</v>
      </c>
      <c r="C30" s="127" t="e">
        <f>((H21/1000)*($C$11*J21))/I21</f>
        <v>#DIV/0!</v>
      </c>
      <c r="D30" s="127" t="e">
        <f>IF($F$7="Full Duty",(($C$11*J21)/1000)*(VLOOKUP($H$7,Workings!$F$2:$I$17,4,FALSE)),((C30*0.06%)+(C30+E30))*(VLOOKUP($H$7,Workings!$F$2:$I$17,4,FALSE)))</f>
        <v>#DIV/0!</v>
      </c>
      <c r="E30" s="127">
        <f>IF($L$17="FOB",M21/I21,0)</f>
        <v>0</v>
      </c>
      <c r="F30" s="127">
        <f>(P21)+(_xlfn.IFNA(VLOOKUP(N21,Workings!$N$2:$O$9,2,FALSE),0)+(((($C$11*J21)+(($C$10*J21)*0.5))/1000)*10.29)+(IF(OR(N21="AGT",N21="Seafrigo",N21="FAR LOGISTICS",N21="EWL"),(VLOOKUP(O21,Workings!$B$12:$E$22,4,FALSE)))))</f>
        <v>0</v>
      </c>
      <c r="G30" s="127">
        <f>IF(AND($F$7="Licence",$C$9&lt;&gt;"veg",$C$9&lt;&gt;"Spring Roll &amp; Samosa",$C$9&lt;&gt;"Onion Bhajis"),Q21*(J21*$C$11),0)</f>
        <v>0</v>
      </c>
      <c r="H30" s="127">
        <f>IF(J21="",0,IF($F$9="Yes",((8.95+1.95+7.95)*33),0))</f>
        <v>0</v>
      </c>
      <c r="I30" s="127">
        <f>IF(J21="",0,IF($F$8="No",(475+150+770),0))</f>
        <v>0</v>
      </c>
      <c r="J30" s="128" t="e">
        <f>IF($F$8="Yes",0,IF($F$7="Full Duty",0,IF($C$9="Veg",0,IF(VLOOKUP($H$7,Workings!$F$2:$I$17,4,FALSE)&lt;=11%,((C30*100.06%)+E30)*(11%-VLOOKUP($H$7,Workings!$F$2:$I$17,4,FALSE))))))</f>
        <v>#N/A</v>
      </c>
      <c r="K30" s="128">
        <f>IF(AND(ISNUMBER(F10), ISNUMBER(F11)), (F10/100)*F11,"")</f>
        <v>0</v>
      </c>
      <c r="L30" s="442" t="e">
        <f>C30+D30+E30+F30+G30+H30+I30+J30+F12</f>
        <v>#DIV/0!</v>
      </c>
      <c r="M30" s="127">
        <f>IFERROR(L30/J21,0)</f>
        <v>0</v>
      </c>
      <c r="N30" s="127">
        <f>IFERROR((L30/(J21*$C$11)),0)</f>
        <v>0</v>
      </c>
      <c r="O30" s="129">
        <f t="shared" si="1"/>
        <v>0</v>
      </c>
      <c r="P30" s="449"/>
      <c r="Q30" s="449"/>
      <c r="R30" s="26"/>
      <c r="S30" s="147"/>
    </row>
    <row r="31" spans="1:19" ht="15.75" thickBot="1" x14ac:dyDescent="0.3">
      <c r="A31" s="142"/>
      <c r="B31" s="9"/>
      <c r="C31" s="444"/>
      <c r="D31" s="444"/>
      <c r="E31" s="444"/>
      <c r="F31" s="444"/>
      <c r="G31" s="444"/>
      <c r="H31" s="444"/>
      <c r="I31" s="444"/>
      <c r="J31" s="444"/>
      <c r="K31" s="444"/>
      <c r="L31" s="444"/>
      <c r="M31" s="444"/>
      <c r="N31" s="444"/>
      <c r="O31" s="444"/>
      <c r="P31" s="444"/>
      <c r="Q31" s="444"/>
      <c r="R31" s="26"/>
      <c r="S31" s="144"/>
    </row>
    <row r="32" spans="1:19" ht="15.75" thickBot="1" x14ac:dyDescent="0.3">
      <c r="A32" s="142"/>
      <c r="B32" s="12" t="s">
        <v>88</v>
      </c>
      <c r="C32" s="444"/>
      <c r="D32" s="444"/>
      <c r="E32" s="444"/>
      <c r="F32" s="444"/>
      <c r="G32" s="444"/>
      <c r="H32" s="444"/>
      <c r="I32" s="444"/>
      <c r="J32" s="444"/>
      <c r="K32" s="444"/>
      <c r="L32" s="444"/>
      <c r="M32" s="444"/>
      <c r="N32" s="444"/>
      <c r="O32" s="444"/>
      <c r="P32" s="444"/>
      <c r="Q32" s="444"/>
      <c r="R32" s="26"/>
      <c r="S32" s="144"/>
    </row>
    <row r="33" spans="1:19" ht="15.75" thickBot="1" x14ac:dyDescent="0.3">
      <c r="A33" s="142"/>
      <c r="B33" s="9"/>
      <c r="C33" s="444"/>
      <c r="D33" s="444"/>
      <c r="E33" s="444"/>
      <c r="F33" s="444"/>
      <c r="G33" s="444"/>
      <c r="H33" s="444"/>
      <c r="I33" s="444"/>
      <c r="J33" s="444"/>
      <c r="K33" s="444"/>
      <c r="L33" s="444"/>
      <c r="M33" s="444"/>
      <c r="N33" s="444"/>
      <c r="O33" s="444"/>
      <c r="P33" s="444"/>
      <c r="Q33" s="444"/>
      <c r="R33" s="26"/>
      <c r="S33" s="144"/>
    </row>
    <row r="34" spans="1:19" ht="15.75" thickBot="1" x14ac:dyDescent="0.3">
      <c r="A34" s="142"/>
      <c r="B34" s="13" t="s">
        <v>56</v>
      </c>
      <c r="C34" s="14"/>
      <c r="D34" s="444"/>
      <c r="E34" s="444"/>
      <c r="F34" s="444"/>
      <c r="G34" s="444"/>
      <c r="H34" s="444"/>
      <c r="I34" s="444"/>
      <c r="J34" s="444"/>
      <c r="K34" s="444"/>
      <c r="L34" s="444"/>
      <c r="M34" s="444"/>
      <c r="N34" s="444"/>
      <c r="O34" s="444"/>
      <c r="P34" s="444"/>
      <c r="Q34" s="444"/>
      <c r="R34" s="26"/>
      <c r="S34" s="144"/>
    </row>
    <row r="35" spans="1:19" ht="15.75" thickBot="1" x14ac:dyDescent="0.3">
      <c r="A35" s="142"/>
      <c r="B35" s="9"/>
      <c r="C35" s="453" t="s">
        <v>91</v>
      </c>
      <c r="D35" s="444"/>
      <c r="E35" s="444"/>
      <c r="F35" s="444"/>
      <c r="G35" s="444"/>
      <c r="H35" s="444"/>
      <c r="I35" s="444"/>
      <c r="J35" s="444"/>
      <c r="K35" s="444"/>
      <c r="L35" s="444"/>
      <c r="M35" s="444"/>
      <c r="N35" s="444"/>
      <c r="O35" s="444"/>
      <c r="P35" s="444"/>
      <c r="Q35" s="444"/>
      <c r="R35" s="26"/>
      <c r="S35" s="144"/>
    </row>
    <row r="36" spans="1:19" x14ac:dyDescent="0.25">
      <c r="A36" s="142"/>
      <c r="B36" s="8" t="s">
        <v>89</v>
      </c>
      <c r="C36" s="11">
        <v>2200</v>
      </c>
      <c r="D36" s="444"/>
      <c r="E36" s="444"/>
      <c r="F36" s="444"/>
      <c r="G36" s="444"/>
      <c r="H36" s="444"/>
      <c r="I36" s="444"/>
      <c r="J36" s="444"/>
      <c r="K36" s="444"/>
      <c r="L36" s="444"/>
      <c r="M36" s="444"/>
      <c r="N36" s="444"/>
      <c r="O36" s="444"/>
      <c r="P36" s="444"/>
      <c r="Q36" s="444"/>
      <c r="R36" s="26"/>
      <c r="S36" s="144"/>
    </row>
    <row r="37" spans="1:19" x14ac:dyDescent="0.25">
      <c r="A37" s="142"/>
      <c r="B37" s="90" t="s">
        <v>316</v>
      </c>
      <c r="C37" s="241">
        <v>3450</v>
      </c>
      <c r="D37" s="444"/>
      <c r="E37" s="444"/>
      <c r="F37" s="444"/>
      <c r="G37" s="444"/>
      <c r="H37" s="444"/>
      <c r="I37" s="444"/>
      <c r="J37" s="444"/>
      <c r="K37" s="444"/>
      <c r="L37" s="444"/>
      <c r="M37" s="444"/>
      <c r="N37" s="444"/>
      <c r="O37" s="444"/>
      <c r="P37" s="444"/>
      <c r="Q37" s="444"/>
      <c r="R37" s="26"/>
      <c r="S37" s="144"/>
    </row>
    <row r="38" spans="1:19" ht="15.75" thickBot="1" x14ac:dyDescent="0.3">
      <c r="A38" s="142"/>
      <c r="B38" s="87" t="s">
        <v>49</v>
      </c>
      <c r="C38" s="242">
        <v>3400</v>
      </c>
      <c r="D38" s="444"/>
      <c r="E38" s="444"/>
      <c r="F38" s="444"/>
      <c r="G38" s="444"/>
      <c r="H38" s="444"/>
      <c r="I38" s="444"/>
      <c r="J38" s="444"/>
      <c r="K38" s="444"/>
      <c r="L38" s="444"/>
      <c r="M38" s="444"/>
      <c r="N38" s="444"/>
      <c r="O38" s="444"/>
      <c r="P38" s="444"/>
      <c r="Q38" s="444"/>
      <c r="R38" s="26"/>
      <c r="S38" s="144"/>
    </row>
    <row r="39" spans="1:19" ht="15.75" thickBot="1" x14ac:dyDescent="0.3">
      <c r="A39" s="142"/>
      <c r="B39" s="9"/>
      <c r="C39" s="444"/>
      <c r="D39" s="444"/>
      <c r="E39" s="444"/>
      <c r="F39" s="444"/>
      <c r="G39" s="444"/>
      <c r="H39" s="444"/>
      <c r="I39" s="444"/>
      <c r="J39" s="444"/>
      <c r="K39" s="444"/>
      <c r="L39" s="444"/>
      <c r="M39" s="444"/>
      <c r="N39" s="444"/>
      <c r="O39" s="444"/>
      <c r="P39" s="444"/>
      <c r="Q39" s="444"/>
      <c r="R39" s="26"/>
      <c r="S39" s="144"/>
    </row>
    <row r="40" spans="1:19" ht="15.75" thickBot="1" x14ac:dyDescent="0.3">
      <c r="A40" s="142"/>
      <c r="B40" s="13" t="s">
        <v>33</v>
      </c>
      <c r="C40" s="288" t="s">
        <v>48</v>
      </c>
      <c r="D40" s="288" t="s">
        <v>47</v>
      </c>
      <c r="E40" s="444"/>
      <c r="F40" s="444"/>
      <c r="G40" s="444"/>
      <c r="H40" s="444"/>
      <c r="I40" s="444"/>
      <c r="J40" s="444"/>
      <c r="K40" s="444"/>
      <c r="L40" s="444"/>
      <c r="M40" s="444"/>
      <c r="N40" s="444"/>
      <c r="O40" s="444"/>
      <c r="P40" s="444"/>
      <c r="Q40" s="444"/>
      <c r="R40" s="26"/>
      <c r="S40" s="144"/>
    </row>
    <row r="41" spans="1:19" ht="15.75" thickBot="1" x14ac:dyDescent="0.3">
      <c r="A41" s="142"/>
      <c r="B41" s="9"/>
      <c r="C41" s="454" t="s">
        <v>90</v>
      </c>
      <c r="D41" s="454" t="s">
        <v>90</v>
      </c>
      <c r="E41" s="444"/>
      <c r="F41" s="444"/>
      <c r="G41" s="444"/>
      <c r="H41" s="444"/>
      <c r="I41" s="444"/>
      <c r="J41" s="444"/>
      <c r="K41" s="444"/>
      <c r="L41" s="444"/>
      <c r="M41" s="444"/>
      <c r="N41" s="444"/>
      <c r="O41" s="444"/>
      <c r="P41" s="444"/>
      <c r="Q41" s="444"/>
      <c r="R41" s="26"/>
      <c r="S41" s="144"/>
    </row>
    <row r="42" spans="1:19" x14ac:dyDescent="0.25">
      <c r="A42" s="142"/>
      <c r="B42" s="297" t="s">
        <v>334</v>
      </c>
      <c r="C42" s="289">
        <f>675+25</f>
        <v>700</v>
      </c>
      <c r="D42" s="15">
        <f>675+25</f>
        <v>700</v>
      </c>
      <c r="E42" s="444"/>
      <c r="F42" s="444"/>
      <c r="G42" s="444"/>
      <c r="H42" s="444"/>
      <c r="I42" s="444"/>
      <c r="J42" s="444"/>
      <c r="K42" s="444"/>
      <c r="L42" s="444"/>
      <c r="M42" s="444"/>
      <c r="N42" s="444"/>
      <c r="O42" s="444"/>
      <c r="P42" s="444"/>
      <c r="Q42" s="444"/>
      <c r="R42" s="26"/>
      <c r="S42" s="144"/>
    </row>
    <row r="43" spans="1:19" x14ac:dyDescent="0.25">
      <c r="A43" s="142"/>
      <c r="B43" s="296" t="s">
        <v>335</v>
      </c>
      <c r="C43" s="290">
        <f>840+25</f>
        <v>865</v>
      </c>
      <c r="D43" s="10">
        <f>965+25</f>
        <v>990</v>
      </c>
      <c r="E43" s="444"/>
      <c r="F43" s="444"/>
      <c r="G43" s="444"/>
      <c r="H43" s="444"/>
      <c r="I43" s="444"/>
      <c r="J43" s="444"/>
      <c r="K43" s="444"/>
      <c r="L43" s="444"/>
      <c r="M43" s="444"/>
      <c r="N43" s="444"/>
      <c r="O43" s="444"/>
      <c r="P43" s="444"/>
      <c r="Q43" s="444"/>
      <c r="R43" s="26"/>
      <c r="S43" s="144"/>
    </row>
    <row r="44" spans="1:19" x14ac:dyDescent="0.25">
      <c r="A44" s="142"/>
      <c r="B44" s="298" t="s">
        <v>336</v>
      </c>
      <c r="C44" s="291">
        <f>690+25</f>
        <v>715</v>
      </c>
      <c r="D44" s="16">
        <f>465+25</f>
        <v>490</v>
      </c>
      <c r="E44" s="444"/>
      <c r="F44" s="444"/>
      <c r="G44" s="444"/>
      <c r="H44" s="444"/>
      <c r="I44" s="444"/>
      <c r="J44" s="444"/>
      <c r="K44" s="444"/>
      <c r="L44" s="444"/>
      <c r="M44" s="444"/>
      <c r="N44" s="444"/>
      <c r="O44" s="444"/>
      <c r="P44" s="444"/>
      <c r="Q44" s="444"/>
      <c r="R44" s="26"/>
      <c r="S44" s="144"/>
    </row>
    <row r="45" spans="1:19" x14ac:dyDescent="0.25">
      <c r="A45" s="142"/>
      <c r="B45" s="298" t="s">
        <v>347</v>
      </c>
      <c r="C45" s="291">
        <f>720+25</f>
        <v>745</v>
      </c>
      <c r="D45" s="16">
        <f>510+25</f>
        <v>535</v>
      </c>
      <c r="E45" s="444"/>
      <c r="F45" s="444"/>
      <c r="G45" s="444"/>
      <c r="H45" s="444"/>
      <c r="I45" s="444"/>
      <c r="J45" s="444"/>
      <c r="K45" s="444"/>
      <c r="L45" s="444"/>
      <c r="M45" s="444"/>
      <c r="N45" s="444"/>
      <c r="O45" s="444"/>
      <c r="P45" s="444"/>
      <c r="Q45" s="444"/>
      <c r="R45" s="26"/>
      <c r="S45" s="144"/>
    </row>
    <row r="46" spans="1:19" x14ac:dyDescent="0.25">
      <c r="A46" s="142"/>
      <c r="B46" s="296" t="s">
        <v>337</v>
      </c>
      <c r="C46" s="290">
        <f>890+25</f>
        <v>915</v>
      </c>
      <c r="D46" s="10">
        <f>1020+25</f>
        <v>1045</v>
      </c>
      <c r="E46" s="444"/>
      <c r="F46" s="444"/>
      <c r="G46" s="444"/>
      <c r="H46" s="444"/>
      <c r="I46" s="444"/>
      <c r="J46" s="444"/>
      <c r="K46" s="444"/>
      <c r="L46" s="444"/>
      <c r="M46" s="444"/>
      <c r="N46" s="444"/>
      <c r="O46" s="444"/>
      <c r="P46" s="444"/>
      <c r="Q46" s="444"/>
      <c r="R46" s="26"/>
      <c r="S46" s="144"/>
    </row>
    <row r="47" spans="1:19" x14ac:dyDescent="0.25">
      <c r="A47" s="142"/>
      <c r="B47" s="298" t="s">
        <v>338</v>
      </c>
      <c r="C47" s="291">
        <f>580+25</f>
        <v>605</v>
      </c>
      <c r="D47" s="16">
        <f>740+25</f>
        <v>765</v>
      </c>
      <c r="E47" s="444"/>
      <c r="F47" s="444"/>
      <c r="G47" s="444"/>
      <c r="H47" s="444"/>
      <c r="I47" s="444"/>
      <c r="J47" s="444"/>
      <c r="K47" s="444"/>
      <c r="L47" s="444"/>
      <c r="M47" s="444"/>
      <c r="N47" s="444"/>
      <c r="O47" s="444"/>
      <c r="P47" s="444"/>
      <c r="Q47" s="444"/>
      <c r="R47" s="26"/>
      <c r="S47" s="144"/>
    </row>
    <row r="48" spans="1:19" x14ac:dyDescent="0.25">
      <c r="A48" s="142"/>
      <c r="B48" s="296" t="s">
        <v>339</v>
      </c>
      <c r="C48" s="290">
        <f>640+25</f>
        <v>665</v>
      </c>
      <c r="D48" s="10">
        <f>635+25</f>
        <v>660</v>
      </c>
      <c r="E48" s="444"/>
      <c r="F48" s="444"/>
      <c r="G48" s="444"/>
      <c r="H48" s="444"/>
      <c r="I48" s="444"/>
      <c r="J48" s="444"/>
      <c r="K48" s="444"/>
      <c r="L48" s="444"/>
      <c r="M48" s="444"/>
      <c r="N48" s="444"/>
      <c r="O48" s="444"/>
      <c r="P48" s="444"/>
      <c r="Q48" s="444"/>
      <c r="R48" s="26"/>
      <c r="S48" s="144"/>
    </row>
    <row r="49" spans="1:19" x14ac:dyDescent="0.25">
      <c r="A49" s="142"/>
      <c r="B49" s="298" t="s">
        <v>340</v>
      </c>
      <c r="C49" s="291">
        <f>980+25</f>
        <v>1005</v>
      </c>
      <c r="D49" s="16">
        <f>1065+25</f>
        <v>1090</v>
      </c>
      <c r="E49" s="444"/>
      <c r="F49" s="444"/>
      <c r="G49" s="444"/>
      <c r="H49" s="444"/>
      <c r="I49" s="444"/>
      <c r="J49" s="444"/>
      <c r="K49" s="444"/>
      <c r="L49" s="444"/>
      <c r="M49" s="444"/>
      <c r="N49" s="444"/>
      <c r="O49" s="444"/>
      <c r="P49" s="444"/>
      <c r="Q49" s="444"/>
      <c r="R49" s="26"/>
      <c r="S49" s="144"/>
    </row>
    <row r="50" spans="1:19" x14ac:dyDescent="0.25">
      <c r="A50" s="142"/>
      <c r="B50" s="296" t="s">
        <v>341</v>
      </c>
      <c r="C50" s="290">
        <f>1030+25</f>
        <v>1055</v>
      </c>
      <c r="D50" s="10">
        <f>885+25</f>
        <v>910</v>
      </c>
      <c r="E50" s="444"/>
      <c r="F50" s="444"/>
      <c r="G50" s="444"/>
      <c r="H50" s="455"/>
      <c r="I50" s="444"/>
      <c r="J50" s="444"/>
      <c r="K50" s="444"/>
      <c r="L50" s="444"/>
      <c r="M50" s="444"/>
      <c r="N50" s="444"/>
      <c r="O50" s="444"/>
      <c r="P50" s="444"/>
      <c r="Q50" s="444"/>
      <c r="R50" s="26"/>
      <c r="S50" s="144"/>
    </row>
    <row r="51" spans="1:19" x14ac:dyDescent="0.25">
      <c r="A51" s="142"/>
      <c r="B51" s="298" t="s">
        <v>342</v>
      </c>
      <c r="C51" s="291">
        <f>1290+25</f>
        <v>1315</v>
      </c>
      <c r="D51" s="16">
        <f>1280+25</f>
        <v>1305</v>
      </c>
      <c r="E51" s="444"/>
      <c r="F51" s="444"/>
      <c r="G51" s="444"/>
      <c r="H51" s="444"/>
      <c r="I51" s="444"/>
      <c r="J51" s="444"/>
      <c r="K51" s="444"/>
      <c r="L51" s="444"/>
      <c r="M51" s="444"/>
      <c r="N51" s="444"/>
      <c r="O51" s="444"/>
      <c r="P51" s="444"/>
      <c r="Q51" s="444"/>
      <c r="R51" s="26"/>
      <c r="S51" s="144"/>
    </row>
    <row r="52" spans="1:19" ht="15" customHeight="1" x14ac:dyDescent="0.25">
      <c r="A52" s="142"/>
      <c r="B52" s="296" t="s">
        <v>343</v>
      </c>
      <c r="C52" s="290">
        <f>680+25</f>
        <v>705</v>
      </c>
      <c r="D52" s="10">
        <f>535+25</f>
        <v>560</v>
      </c>
      <c r="E52" s="444"/>
      <c r="F52" s="444"/>
      <c r="G52" s="444"/>
      <c r="H52" s="444"/>
      <c r="I52" s="444"/>
      <c r="J52" s="444"/>
      <c r="K52" s="444"/>
      <c r="L52" s="444"/>
      <c r="M52" s="444"/>
      <c r="N52" s="444"/>
      <c r="O52" s="444"/>
      <c r="P52" s="444"/>
      <c r="Q52" s="444"/>
      <c r="R52" s="26"/>
      <c r="S52" s="144"/>
    </row>
    <row r="53" spans="1:19" x14ac:dyDescent="0.25">
      <c r="A53" s="142"/>
      <c r="B53" s="298" t="s">
        <v>344</v>
      </c>
      <c r="C53" s="291">
        <f>440+25</f>
        <v>465</v>
      </c>
      <c r="D53" s="16">
        <f>635+25</f>
        <v>660</v>
      </c>
      <c r="E53" s="444"/>
      <c r="F53" s="444"/>
      <c r="G53" s="444"/>
      <c r="H53" s="444"/>
      <c r="I53" s="444"/>
      <c r="J53" s="444"/>
      <c r="K53" s="444"/>
      <c r="L53" s="444"/>
      <c r="M53" s="444"/>
      <c r="N53" s="444"/>
      <c r="O53" s="444"/>
      <c r="P53" s="444"/>
      <c r="Q53" s="444"/>
      <c r="R53" s="26"/>
      <c r="S53" s="144"/>
    </row>
    <row r="54" spans="1:19" x14ac:dyDescent="0.25">
      <c r="A54" s="142"/>
      <c r="B54" s="296" t="s">
        <v>345</v>
      </c>
      <c r="C54" s="290">
        <f>950+25</f>
        <v>975</v>
      </c>
      <c r="D54" s="10">
        <f>955+25</f>
        <v>980</v>
      </c>
      <c r="E54" s="444"/>
      <c r="F54" s="444"/>
      <c r="G54" s="444"/>
      <c r="H54" s="444"/>
      <c r="I54" s="444"/>
      <c r="J54" s="444"/>
      <c r="K54" s="444"/>
      <c r="L54" s="444"/>
      <c r="M54" s="444"/>
      <c r="N54" s="444"/>
      <c r="O54" s="444"/>
      <c r="P54" s="444"/>
      <c r="Q54" s="444"/>
      <c r="R54" s="26"/>
      <c r="S54" s="144"/>
    </row>
    <row r="55" spans="1:19" x14ac:dyDescent="0.25">
      <c r="A55" s="142"/>
      <c r="B55" s="298" t="s">
        <v>346</v>
      </c>
      <c r="C55" s="291">
        <f>890+25</f>
        <v>915</v>
      </c>
      <c r="D55" s="16">
        <f>1020+25</f>
        <v>1045</v>
      </c>
      <c r="E55" s="444"/>
      <c r="F55" s="444"/>
      <c r="G55" s="444"/>
      <c r="H55" s="444"/>
      <c r="I55" s="444"/>
      <c r="J55" s="444"/>
      <c r="K55" s="444"/>
      <c r="L55" s="444"/>
      <c r="M55" s="444"/>
      <c r="N55" s="444"/>
      <c r="O55" s="444"/>
      <c r="P55" s="444"/>
      <c r="Q55" s="444"/>
      <c r="R55" s="26"/>
      <c r="S55" s="144"/>
    </row>
    <row r="56" spans="1:19" x14ac:dyDescent="0.25">
      <c r="A56" s="142"/>
      <c r="B56" s="299" t="s">
        <v>102</v>
      </c>
      <c r="C56" s="294">
        <v>2435</v>
      </c>
      <c r="D56" s="295"/>
      <c r="E56" s="444"/>
      <c r="F56" s="444"/>
      <c r="G56" s="444"/>
      <c r="H56" s="444"/>
      <c r="I56" s="444"/>
      <c r="J56" s="444"/>
      <c r="K56" s="444"/>
      <c r="L56" s="444"/>
      <c r="M56" s="444"/>
      <c r="N56" s="444"/>
      <c r="O56" s="444"/>
      <c r="P56" s="444"/>
      <c r="Q56" s="444"/>
      <c r="R56" s="26"/>
      <c r="S56" s="144"/>
    </row>
    <row r="57" spans="1:19" ht="15.75" thickBot="1" x14ac:dyDescent="0.3">
      <c r="A57" s="142"/>
      <c r="B57" s="300" t="s">
        <v>103</v>
      </c>
      <c r="C57" s="292">
        <v>1623</v>
      </c>
      <c r="D57" s="293"/>
      <c r="E57" s="34"/>
      <c r="F57" s="34"/>
      <c r="G57" s="34"/>
      <c r="H57" s="34"/>
      <c r="I57" s="34"/>
      <c r="J57" s="34"/>
      <c r="K57" s="34"/>
      <c r="L57" s="34"/>
      <c r="M57" s="34"/>
      <c r="N57" s="34"/>
      <c r="O57" s="34"/>
      <c r="P57" s="34"/>
      <c r="Q57" s="34"/>
      <c r="R57" s="35"/>
      <c r="S57" s="144"/>
    </row>
    <row r="58" spans="1:19" ht="30" customHeight="1" thickBot="1" x14ac:dyDescent="0.3">
      <c r="A58" s="456"/>
      <c r="B58" s="457"/>
      <c r="C58" s="457"/>
      <c r="D58" s="457"/>
      <c r="E58" s="457"/>
      <c r="F58" s="457"/>
      <c r="G58" s="457"/>
      <c r="H58" s="457"/>
      <c r="I58" s="457"/>
      <c r="J58" s="457"/>
      <c r="K58" s="457"/>
      <c r="L58" s="457"/>
      <c r="M58" s="457"/>
      <c r="N58" s="457"/>
      <c r="O58" s="457"/>
      <c r="P58" s="457"/>
      <c r="Q58" s="457"/>
      <c r="R58" s="457"/>
      <c r="S58" s="458"/>
    </row>
  </sheetData>
  <mergeCells count="5">
    <mergeCell ref="I5:N7"/>
    <mergeCell ref="B6:C6"/>
    <mergeCell ref="I8:N10"/>
    <mergeCell ref="C15:G15"/>
    <mergeCell ref="E6:F6"/>
  </mergeCells>
  <dataValidations count="1">
    <dataValidation allowBlank="1" sqref="C7" xr:uid="{00000000-0002-0000-0300-000000000000}"/>
  </dataValidations>
  <printOptions horizontalCentered="1" verticalCentered="1"/>
  <pageMargins left="0.23622047244094491" right="0.23622047244094491" top="0.74803149606299213" bottom="0.74803149606299213" header="0.31496062992125984" footer="0.31496062992125984"/>
  <pageSetup paperSize="9" scale="45" orientation="landscape" r:id="rId1"/>
  <ignoredErrors>
    <ignoredError sqref="C26:C30 J26:J30 L26:L30 D26:D30" evalError="1"/>
  </ignoredErrors>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300-000001000000}">
          <x14:formula1>
            <xm:f>Workings!$E$6:$E$7</xm:f>
          </x14:formula1>
          <xm:sqref>C17:C21</xm:sqref>
        </x14:dataValidation>
        <x14:dataValidation type="list" allowBlank="1" showInputMessage="1" showErrorMessage="1" xr:uid="{00000000-0002-0000-0300-000002000000}">
          <x14:formula1>
            <xm:f>Workings!$B$13:$B$23</xm:f>
          </x14:formula1>
          <xm:sqref>O17:O21</xm:sqref>
        </x14:dataValidation>
        <x14:dataValidation type="list" allowBlank="1" showInputMessage="1" showErrorMessage="1" xr:uid="{00000000-0002-0000-0300-000003000000}">
          <x14:formula1>
            <xm:f>Workings!$A$13:$A$21</xm:f>
          </x14:formula1>
          <xm:sqref>N17:N21</xm:sqref>
        </x14:dataValidation>
        <x14:dataValidation type="list" allowBlank="1" showInputMessage="1" showErrorMessage="1" xr:uid="{00000000-0002-0000-0300-000004000000}">
          <x14:formula1>
            <xm:f>Workings!$B$6:$B$7</xm:f>
          </x14:formula1>
          <xm:sqref>F7:G7</xm:sqref>
        </x14:dataValidation>
        <x14:dataValidation type="list" allowBlank="1" showInputMessage="1" showErrorMessage="1" xr:uid="{00000000-0002-0000-0300-000005000000}">
          <x14:formula1>
            <xm:f>Workings!$D$6:$D$7</xm:f>
          </x14:formula1>
          <xm:sqref>G10 L17:L21</xm:sqref>
        </x14:dataValidation>
        <x14:dataValidation type="list" allowBlank="1" showInputMessage="1" showErrorMessage="1" xr:uid="{00000000-0002-0000-0300-000006000000}">
          <x14:formula1>
            <xm:f>Workings!$C$6:$C$7</xm:f>
          </x14:formula1>
          <xm:sqref>F8:G9</xm:sqref>
        </x14:dataValidation>
        <x14:dataValidation type="list" allowBlank="1" showInputMessage="1" showErrorMessage="1" xr:uid="{00000000-0002-0000-0300-000007000000}">
          <x14:formula1>
            <xm:f>Workings!$A2:$A$11</xm:f>
          </x14:formula1>
          <xm:sqref>C9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2" tint="-0.89999084444715716"/>
  </sheetPr>
  <dimension ref="A1:Q24"/>
  <sheetViews>
    <sheetView zoomScaleNormal="100" workbookViewId="0">
      <selection activeCell="F24" sqref="F24"/>
    </sheetView>
  </sheetViews>
  <sheetFormatPr defaultColWidth="0" defaultRowHeight="15" zeroHeight="1" x14ac:dyDescent="0.25"/>
  <cols>
    <col min="1" max="1" width="23.85546875" bestFit="1" customWidth="1"/>
    <col min="2" max="2" width="14.5703125" bestFit="1" customWidth="1"/>
    <col min="3" max="3" width="19.42578125" bestFit="1" customWidth="1"/>
    <col min="4" max="4" width="15.7109375" customWidth="1"/>
    <col min="5" max="5" width="12.28515625" customWidth="1"/>
    <col min="6" max="6" width="28.85546875" customWidth="1"/>
    <col min="7" max="7" width="24.85546875" customWidth="1"/>
    <col min="8" max="8" width="13.140625" customWidth="1"/>
    <col min="9" max="9" width="14.85546875" customWidth="1"/>
    <col min="10" max="10" width="9.140625" customWidth="1"/>
    <col min="11" max="11" width="17.7109375" customWidth="1"/>
    <col min="12" max="13" width="9.140625" customWidth="1"/>
    <col min="14" max="14" width="22" bestFit="1" customWidth="1"/>
    <col min="15" max="15" width="15.7109375" customWidth="1"/>
    <col min="16" max="16" width="16.28515625" bestFit="1" customWidth="1"/>
    <col min="17" max="17" width="9.140625" customWidth="1"/>
    <col min="18" max="16384" width="9.140625" hidden="1"/>
  </cols>
  <sheetData>
    <row r="1" spans="1:17" ht="30" customHeight="1" thickBot="1" x14ac:dyDescent="0.3">
      <c r="A1" s="237" t="s">
        <v>1</v>
      </c>
      <c r="B1" s="238" t="s">
        <v>10</v>
      </c>
      <c r="C1" s="238" t="s">
        <v>11</v>
      </c>
      <c r="D1" s="238" t="s">
        <v>18</v>
      </c>
      <c r="E1" s="238" t="s">
        <v>79</v>
      </c>
      <c r="F1" s="428" t="s">
        <v>38</v>
      </c>
      <c r="G1" s="429"/>
      <c r="H1" s="429"/>
      <c r="I1" s="430"/>
      <c r="J1" s="268"/>
      <c r="K1" s="171" t="s">
        <v>283</v>
      </c>
      <c r="L1" s="268"/>
      <c r="M1" s="269"/>
      <c r="N1" s="428" t="s">
        <v>32</v>
      </c>
      <c r="O1" s="430"/>
      <c r="P1" s="270"/>
      <c r="Q1" s="140"/>
    </row>
    <row r="2" spans="1:17" ht="22.5" customHeight="1" x14ac:dyDescent="0.25">
      <c r="A2" s="230" t="s">
        <v>325</v>
      </c>
      <c r="B2" s="70"/>
      <c r="C2" s="70"/>
      <c r="D2" s="70"/>
      <c r="E2" s="70"/>
      <c r="F2" s="358" t="str">
        <f t="shared" ref="F2:F3" si="0">CONCATENATE(G2,H2)</f>
        <v>Prawn GyozaLicence</v>
      </c>
      <c r="G2" s="359" t="s">
        <v>325</v>
      </c>
      <c r="H2" s="359" t="s">
        <v>13</v>
      </c>
      <c r="I2" s="369">
        <v>0.2</v>
      </c>
      <c r="J2" s="70"/>
      <c r="K2" s="224" t="s">
        <v>288</v>
      </c>
      <c r="L2" s="70"/>
      <c r="M2" s="70"/>
      <c r="N2" s="264"/>
      <c r="O2" s="287" t="s">
        <v>67</v>
      </c>
      <c r="P2" s="271"/>
      <c r="Q2" s="140"/>
    </row>
    <row r="3" spans="1:17" ht="18.75" customHeight="1" x14ac:dyDescent="0.25">
      <c r="A3" s="232" t="s">
        <v>326</v>
      </c>
      <c r="B3" s="357"/>
      <c r="C3" s="357"/>
      <c r="D3" s="357"/>
      <c r="E3" s="357"/>
      <c r="F3" s="230" t="str">
        <f t="shared" si="0"/>
        <v>Bao BunLicence</v>
      </c>
      <c r="G3" s="70" t="s">
        <v>326</v>
      </c>
      <c r="H3" s="70" t="s">
        <v>13</v>
      </c>
      <c r="I3" s="364">
        <v>0.08</v>
      </c>
      <c r="J3" s="70"/>
      <c r="K3" s="225" t="s">
        <v>289</v>
      </c>
      <c r="L3" s="70"/>
      <c r="M3" s="70"/>
      <c r="N3" s="265"/>
      <c r="O3" s="272"/>
      <c r="P3" s="271"/>
      <c r="Q3" s="140"/>
    </row>
    <row r="4" spans="1:17" ht="18.75" customHeight="1" x14ac:dyDescent="0.25">
      <c r="A4" s="230" t="s">
        <v>314</v>
      </c>
      <c r="B4" s="70"/>
      <c r="C4" s="70"/>
      <c r="D4" s="70"/>
      <c r="E4" s="70"/>
      <c r="F4" s="232" t="str">
        <f>CONCATENATE(G4,H4)</f>
        <v>Ready Meal (Rice)Licence</v>
      </c>
      <c r="G4" s="357" t="s">
        <v>314</v>
      </c>
      <c r="H4" s="357" t="s">
        <v>13</v>
      </c>
      <c r="I4" s="363">
        <v>0.08</v>
      </c>
      <c r="J4" s="70"/>
      <c r="K4" s="224" t="s">
        <v>290</v>
      </c>
      <c r="L4" s="70"/>
      <c r="M4" s="70"/>
      <c r="N4" s="232" t="s">
        <v>42</v>
      </c>
      <c r="O4" s="266">
        <v>471</v>
      </c>
      <c r="P4" s="271"/>
      <c r="Q4" s="140"/>
    </row>
    <row r="5" spans="1:17" ht="18.75" customHeight="1" x14ac:dyDescent="0.25">
      <c r="A5" s="232" t="s">
        <v>315</v>
      </c>
      <c r="B5" s="357"/>
      <c r="C5" s="357"/>
      <c r="D5" s="357"/>
      <c r="E5" s="357"/>
      <c r="F5" s="230" t="str">
        <f>CONCATENATE(G5,H5)</f>
        <v>Ready Meal (Noodles)Licence</v>
      </c>
      <c r="G5" s="70" t="s">
        <v>315</v>
      </c>
      <c r="H5" s="373" t="s">
        <v>13</v>
      </c>
      <c r="I5" s="364">
        <v>0.06</v>
      </c>
      <c r="J5" s="70"/>
      <c r="K5" s="225" t="s">
        <v>291</v>
      </c>
      <c r="L5" s="70"/>
      <c r="M5" s="70"/>
      <c r="N5" s="265" t="s">
        <v>43</v>
      </c>
      <c r="O5" s="267">
        <v>815</v>
      </c>
      <c r="P5" s="271"/>
      <c r="Q5" s="140"/>
    </row>
    <row r="6" spans="1:17" ht="18.75" customHeight="1" x14ac:dyDescent="0.25">
      <c r="A6" s="230" t="s">
        <v>4</v>
      </c>
      <c r="B6" s="70" t="s">
        <v>12</v>
      </c>
      <c r="C6" s="70" t="s">
        <v>14</v>
      </c>
      <c r="D6" s="70" t="s">
        <v>19</v>
      </c>
      <c r="E6" s="70" t="s">
        <v>80</v>
      </c>
      <c r="F6" s="232" t="str">
        <f>CONCATENATE(G6,H6)</f>
        <v>&lt;57%Licence</v>
      </c>
      <c r="G6" s="357" t="s">
        <v>4</v>
      </c>
      <c r="H6" s="357" t="s">
        <v>13</v>
      </c>
      <c r="I6" s="363">
        <v>0.109</v>
      </c>
      <c r="J6" s="70"/>
      <c r="K6" s="224" t="s">
        <v>292</v>
      </c>
      <c r="L6" s="70"/>
      <c r="M6" s="70"/>
      <c r="N6" s="232" t="s">
        <v>370</v>
      </c>
      <c r="O6" s="266">
        <v>1125</v>
      </c>
      <c r="P6" s="71"/>
      <c r="Q6" s="140"/>
    </row>
    <row r="7" spans="1:17" ht="18.75" customHeight="1" x14ac:dyDescent="0.25">
      <c r="A7" s="232" t="s">
        <v>5</v>
      </c>
      <c r="B7" s="357" t="s">
        <v>13</v>
      </c>
      <c r="C7" s="357" t="s">
        <v>15</v>
      </c>
      <c r="D7" s="357" t="s">
        <v>20</v>
      </c>
      <c r="E7" s="357" t="s">
        <v>81</v>
      </c>
      <c r="F7" s="230" t="str">
        <f t="shared" ref="F7:F17" si="1">CONCATENATE(G7,H7)</f>
        <v>&lt;57%Full Duty</v>
      </c>
      <c r="G7" s="70" t="s">
        <v>4</v>
      </c>
      <c r="H7" s="373" t="s">
        <v>12</v>
      </c>
      <c r="I7" s="365">
        <v>2313</v>
      </c>
      <c r="J7" s="70"/>
      <c r="K7" s="225" t="s">
        <v>293</v>
      </c>
      <c r="L7" s="70"/>
      <c r="M7" s="70"/>
      <c r="N7" s="265" t="s">
        <v>45</v>
      </c>
      <c r="O7" s="267">
        <v>734</v>
      </c>
      <c r="P7" s="71"/>
      <c r="Q7" s="140"/>
    </row>
    <row r="8" spans="1:17" ht="18.75" customHeight="1" thickBot="1" x14ac:dyDescent="0.3">
      <c r="A8" s="230" t="s">
        <v>6</v>
      </c>
      <c r="B8" s="70"/>
      <c r="C8" s="70"/>
      <c r="D8" s="70"/>
      <c r="E8" s="70"/>
      <c r="F8" s="232" t="str">
        <f t="shared" si="1"/>
        <v>&gt;57%Licence</v>
      </c>
      <c r="G8" s="357" t="s">
        <v>5</v>
      </c>
      <c r="H8" s="357" t="s">
        <v>13</v>
      </c>
      <c r="I8" s="363">
        <v>0.08</v>
      </c>
      <c r="J8" s="70"/>
      <c r="K8" s="224" t="s">
        <v>294</v>
      </c>
      <c r="L8" s="70"/>
      <c r="M8" s="70"/>
      <c r="N8" s="234"/>
      <c r="O8" s="236"/>
      <c r="P8" s="70"/>
      <c r="Q8" s="140"/>
    </row>
    <row r="9" spans="1:17" ht="18.75" customHeight="1" x14ac:dyDescent="0.25">
      <c r="A9" s="232" t="s">
        <v>7</v>
      </c>
      <c r="B9" s="357"/>
      <c r="C9" s="357"/>
      <c r="D9" s="357"/>
      <c r="E9" s="357"/>
      <c r="F9" s="230" t="str">
        <f t="shared" si="1"/>
        <v>&gt;57%Full Duty</v>
      </c>
      <c r="G9" s="70" t="s">
        <v>5</v>
      </c>
      <c r="H9" s="373" t="s">
        <v>12</v>
      </c>
      <c r="I9" s="365">
        <v>856</v>
      </c>
      <c r="J9" s="70"/>
      <c r="K9" s="225" t="s">
        <v>295</v>
      </c>
      <c r="L9" s="70"/>
      <c r="M9" s="70"/>
      <c r="N9" s="70"/>
      <c r="O9" s="70"/>
      <c r="P9" s="70"/>
      <c r="Q9" s="140"/>
    </row>
    <row r="10" spans="1:17" ht="18.75" customHeight="1" thickBot="1" x14ac:dyDescent="0.3">
      <c r="A10" s="230" t="s">
        <v>8</v>
      </c>
      <c r="B10" s="70"/>
      <c r="C10" s="70"/>
      <c r="D10" s="70"/>
      <c r="E10" s="70"/>
      <c r="F10" s="232" t="str">
        <f t="shared" si="1"/>
        <v>Spring roll &amp; samosaLicence</v>
      </c>
      <c r="G10" s="357" t="s">
        <v>6</v>
      </c>
      <c r="H10" s="357" t="s">
        <v>13</v>
      </c>
      <c r="I10" s="363">
        <v>0.08</v>
      </c>
      <c r="J10" s="70"/>
      <c r="K10" s="224" t="s">
        <v>296</v>
      </c>
      <c r="L10" s="70"/>
      <c r="M10" s="70"/>
      <c r="N10" s="70"/>
      <c r="O10" s="70"/>
      <c r="P10" s="71"/>
      <c r="Q10" s="140"/>
    </row>
    <row r="11" spans="1:17" ht="18.75" customHeight="1" thickBot="1" x14ac:dyDescent="0.3">
      <c r="A11" s="234" t="s">
        <v>87</v>
      </c>
      <c r="B11" s="235"/>
      <c r="C11" s="235"/>
      <c r="D11" s="235"/>
      <c r="E11" s="235"/>
      <c r="F11" s="230" t="str">
        <f t="shared" si="1"/>
        <v>Spring roll &amp; samosaFull Duty</v>
      </c>
      <c r="G11" s="70" t="s">
        <v>6</v>
      </c>
      <c r="H11" s="373" t="s">
        <v>12</v>
      </c>
      <c r="I11" s="364">
        <v>0.08</v>
      </c>
      <c r="J11" s="70"/>
      <c r="K11" s="225"/>
      <c r="L11" s="70"/>
      <c r="M11" s="70"/>
      <c r="N11" s="276" t="s">
        <v>321</v>
      </c>
      <c r="O11" s="277" t="s">
        <v>320</v>
      </c>
      <c r="P11" s="71"/>
      <c r="Q11" s="140"/>
    </row>
    <row r="12" spans="1:17" ht="18.75" customHeight="1" thickBot="1" x14ac:dyDescent="0.3">
      <c r="A12" s="239" t="s">
        <v>39</v>
      </c>
      <c r="B12" s="240" t="s">
        <v>40</v>
      </c>
      <c r="C12" s="240" t="s">
        <v>69</v>
      </c>
      <c r="D12" s="240" t="s">
        <v>68</v>
      </c>
      <c r="E12" s="374"/>
      <c r="F12" s="232" t="str">
        <f t="shared" si="1"/>
        <v>Onion bhajisLicence</v>
      </c>
      <c r="G12" s="357" t="s">
        <v>7</v>
      </c>
      <c r="H12" s="357" t="s">
        <v>13</v>
      </c>
      <c r="I12" s="363">
        <v>0.16</v>
      </c>
      <c r="J12" s="70"/>
      <c r="K12" s="224"/>
      <c r="L12" s="70"/>
      <c r="M12" s="70"/>
      <c r="N12" s="278">
        <v>19021990</v>
      </c>
      <c r="O12" s="279">
        <v>17</v>
      </c>
      <c r="P12" s="71"/>
      <c r="Q12" s="140"/>
    </row>
    <row r="13" spans="1:17" ht="18.75" customHeight="1" x14ac:dyDescent="0.25">
      <c r="A13" s="358" t="s">
        <v>42</v>
      </c>
      <c r="B13" s="359" t="s">
        <v>46</v>
      </c>
      <c r="C13" s="359">
        <v>219.71</v>
      </c>
      <c r="D13" s="359"/>
      <c r="E13" s="360">
        <f>C13+D13</f>
        <v>219.71</v>
      </c>
      <c r="F13" s="70" t="str">
        <f t="shared" si="1"/>
        <v>Onion bhajisFull Duty</v>
      </c>
      <c r="G13" s="70" t="s">
        <v>7</v>
      </c>
      <c r="H13" s="373" t="s">
        <v>12</v>
      </c>
      <c r="I13" s="364">
        <v>0.16</v>
      </c>
      <c r="J13" s="70"/>
      <c r="K13" s="225"/>
      <c r="L13" s="70"/>
      <c r="M13" s="70"/>
      <c r="N13" s="232"/>
      <c r="O13" s="280"/>
      <c r="P13" s="71"/>
      <c r="Q13" s="140"/>
    </row>
    <row r="14" spans="1:17" ht="18.75" customHeight="1" x14ac:dyDescent="0.25">
      <c r="A14" s="230" t="s">
        <v>43</v>
      </c>
      <c r="B14" s="70" t="s">
        <v>47</v>
      </c>
      <c r="C14" s="70">
        <v>110.03</v>
      </c>
      <c r="D14" s="70">
        <v>109.68</v>
      </c>
      <c r="E14" s="231">
        <f>C14+D14</f>
        <v>219.71</v>
      </c>
      <c r="F14" s="357" t="str">
        <f t="shared" si="1"/>
        <v>DuckLicence</v>
      </c>
      <c r="G14" s="357" t="s">
        <v>8</v>
      </c>
      <c r="H14" s="357" t="s">
        <v>13</v>
      </c>
      <c r="I14" s="363">
        <v>0.109</v>
      </c>
      <c r="J14" s="70"/>
      <c r="K14" s="224"/>
      <c r="L14" s="70"/>
      <c r="M14" s="70"/>
      <c r="N14" s="230"/>
      <c r="O14" s="281"/>
      <c r="P14" s="71"/>
      <c r="Q14" s="140"/>
    </row>
    <row r="15" spans="1:17" ht="18.75" customHeight="1" x14ac:dyDescent="0.25">
      <c r="A15" s="232" t="s">
        <v>44</v>
      </c>
      <c r="B15" s="357" t="s">
        <v>48</v>
      </c>
      <c r="C15" s="357">
        <v>226.74</v>
      </c>
      <c r="D15" s="357"/>
      <c r="E15" s="233">
        <f>C15+D15</f>
        <v>226.74</v>
      </c>
      <c r="F15" s="70" t="str">
        <f t="shared" si="1"/>
        <v>DuckFull Duty</v>
      </c>
      <c r="G15" s="70" t="s">
        <v>8</v>
      </c>
      <c r="H15" s="373" t="s">
        <v>12</v>
      </c>
      <c r="I15" s="365">
        <v>2313</v>
      </c>
      <c r="J15" s="70"/>
      <c r="K15" s="70"/>
      <c r="L15" s="70"/>
      <c r="M15" s="70"/>
      <c r="N15" s="232"/>
      <c r="O15" s="280"/>
      <c r="P15" s="71"/>
      <c r="Q15" s="140"/>
    </row>
    <row r="16" spans="1:17" ht="18.75" customHeight="1" x14ac:dyDescent="0.25">
      <c r="A16" s="230" t="s">
        <v>45</v>
      </c>
      <c r="B16" s="70" t="s">
        <v>49</v>
      </c>
      <c r="C16" s="70">
        <v>200</v>
      </c>
      <c r="D16" s="70"/>
      <c r="E16" s="231">
        <f>C16+D16</f>
        <v>200</v>
      </c>
      <c r="F16" s="357" t="str">
        <f t="shared" si="1"/>
        <v>VegLicence</v>
      </c>
      <c r="G16" s="357" t="s">
        <v>87</v>
      </c>
      <c r="H16" s="357" t="s">
        <v>13</v>
      </c>
      <c r="I16" s="366"/>
      <c r="J16" s="70"/>
      <c r="K16" s="70"/>
      <c r="L16" s="70"/>
      <c r="M16" s="70"/>
      <c r="N16" s="230"/>
      <c r="O16" s="281"/>
      <c r="P16" s="71"/>
      <c r="Q16" s="140"/>
    </row>
    <row r="17" spans="1:17" ht="18.75" customHeight="1" x14ac:dyDescent="0.25">
      <c r="A17" s="232" t="s">
        <v>457</v>
      </c>
      <c r="B17" s="357" t="s">
        <v>348</v>
      </c>
      <c r="C17" s="357"/>
      <c r="D17" s="357"/>
      <c r="E17" s="233">
        <f t="shared" ref="E17:E21" si="2">C17+D17</f>
        <v>0</v>
      </c>
      <c r="F17" s="70" t="str">
        <f t="shared" si="1"/>
        <v>VegFull Duty</v>
      </c>
      <c r="G17" s="70" t="s">
        <v>87</v>
      </c>
      <c r="H17" s="373" t="s">
        <v>12</v>
      </c>
      <c r="I17" s="365"/>
      <c r="J17" s="70"/>
      <c r="K17" s="70"/>
      <c r="L17" s="70"/>
      <c r="M17" s="70"/>
      <c r="N17" s="232"/>
      <c r="O17" s="280"/>
      <c r="P17" s="71"/>
      <c r="Q17" s="140"/>
    </row>
    <row r="18" spans="1:17" ht="18.75" customHeight="1" thickBot="1" x14ac:dyDescent="0.3">
      <c r="A18" s="230" t="s">
        <v>546</v>
      </c>
      <c r="B18" s="70" t="s">
        <v>354</v>
      </c>
      <c r="C18" s="70">
        <v>200</v>
      </c>
      <c r="D18" s="70"/>
      <c r="E18" s="231">
        <f t="shared" si="2"/>
        <v>200</v>
      </c>
      <c r="F18" s="357"/>
      <c r="G18" s="357"/>
      <c r="H18" s="357"/>
      <c r="I18" s="366"/>
      <c r="J18" s="70"/>
      <c r="K18" s="70"/>
      <c r="L18" s="70"/>
      <c r="M18" s="70"/>
      <c r="N18" s="361"/>
      <c r="O18" s="367"/>
      <c r="P18" s="71"/>
      <c r="Q18" s="140"/>
    </row>
    <row r="19" spans="1:17" ht="18.75" customHeight="1" x14ac:dyDescent="0.25">
      <c r="A19" s="232" t="s">
        <v>458</v>
      </c>
      <c r="B19" s="357" t="s">
        <v>355</v>
      </c>
      <c r="C19" s="357">
        <v>275</v>
      </c>
      <c r="D19" s="357"/>
      <c r="E19" s="233">
        <f t="shared" si="2"/>
        <v>275</v>
      </c>
      <c r="F19" s="70"/>
      <c r="G19" s="70"/>
      <c r="H19" s="373"/>
      <c r="I19" s="365"/>
      <c r="J19" s="70"/>
      <c r="K19" s="70"/>
      <c r="L19" s="70"/>
      <c r="M19" s="70"/>
      <c r="N19" s="70"/>
      <c r="O19" s="368"/>
      <c r="P19" s="71"/>
      <c r="Q19" s="140"/>
    </row>
    <row r="20" spans="1:17" ht="18.75" customHeight="1" x14ac:dyDescent="0.25">
      <c r="A20" s="230" t="s">
        <v>459</v>
      </c>
      <c r="B20" s="70" t="s">
        <v>47</v>
      </c>
      <c r="C20" s="70"/>
      <c r="D20" s="70"/>
      <c r="E20" s="231">
        <f t="shared" si="2"/>
        <v>0</v>
      </c>
      <c r="F20" s="357"/>
      <c r="G20" s="357"/>
      <c r="H20" s="357"/>
      <c r="I20" s="366"/>
      <c r="J20" s="70"/>
      <c r="K20" s="70"/>
      <c r="L20" s="70"/>
      <c r="M20" s="70"/>
      <c r="N20" s="70"/>
      <c r="O20" s="368"/>
      <c r="P20" s="71"/>
      <c r="Q20" s="140"/>
    </row>
    <row r="21" spans="1:17" ht="18.75" customHeight="1" thickBot="1" x14ac:dyDescent="0.3">
      <c r="A21" s="234" t="s">
        <v>460</v>
      </c>
      <c r="B21" s="235" t="s">
        <v>49</v>
      </c>
      <c r="C21" s="235"/>
      <c r="D21" s="235"/>
      <c r="E21" s="236">
        <f t="shared" si="2"/>
        <v>0</v>
      </c>
      <c r="F21" s="362"/>
      <c r="G21" s="362"/>
      <c r="H21" s="370"/>
      <c r="I21" s="371"/>
      <c r="J21" s="70"/>
      <c r="K21" s="70"/>
      <c r="L21" s="70"/>
      <c r="M21" s="70"/>
      <c r="N21" s="70"/>
      <c r="O21" s="368"/>
      <c r="P21" s="71"/>
      <c r="Q21" s="140"/>
    </row>
    <row r="22" spans="1:17" x14ac:dyDescent="0.25">
      <c r="A22" s="69"/>
      <c r="B22" s="70"/>
      <c r="C22" s="70"/>
      <c r="D22" s="70"/>
      <c r="E22" s="70"/>
      <c r="F22" s="70"/>
      <c r="G22" s="70"/>
      <c r="H22" s="70"/>
      <c r="I22" s="70"/>
      <c r="J22" s="70"/>
      <c r="K22" s="70"/>
      <c r="L22" s="70"/>
      <c r="M22" s="70"/>
      <c r="N22" s="70"/>
      <c r="O22" s="70"/>
      <c r="P22" s="71"/>
      <c r="Q22" s="140"/>
    </row>
    <row r="23" spans="1:17" ht="15.75" thickBot="1" x14ac:dyDescent="0.3">
      <c r="A23" s="273"/>
      <c r="B23" s="170"/>
      <c r="C23" s="170"/>
      <c r="D23" s="170"/>
      <c r="E23" s="170"/>
      <c r="F23" s="170"/>
      <c r="G23" s="170"/>
      <c r="H23" s="170"/>
      <c r="I23" s="170"/>
      <c r="J23" s="170"/>
      <c r="K23" s="170"/>
      <c r="L23" s="170"/>
      <c r="M23" s="170"/>
      <c r="N23" s="170"/>
      <c r="O23" s="170"/>
      <c r="P23" s="274"/>
      <c r="Q23" s="140"/>
    </row>
    <row r="24" spans="1:17" ht="48" customHeight="1" x14ac:dyDescent="0.25">
      <c r="A24" s="140"/>
      <c r="B24" s="140"/>
      <c r="C24" s="140"/>
      <c r="D24" s="140"/>
      <c r="E24" s="140"/>
      <c r="F24" s="140"/>
      <c r="G24" s="140"/>
      <c r="H24" s="140"/>
      <c r="I24" s="140"/>
      <c r="J24" s="140"/>
      <c r="K24" s="140"/>
      <c r="L24" s="140"/>
      <c r="M24" s="140"/>
      <c r="N24" s="140"/>
      <c r="O24" s="140"/>
      <c r="P24" s="140"/>
      <c r="Q24" s="140"/>
    </row>
  </sheetData>
  <mergeCells count="2">
    <mergeCell ref="F1:I1"/>
    <mergeCell ref="N1:O1"/>
  </mergeCells>
  <pageMargins left="0.7" right="0.7" top="0.75" bottom="0.75" header="0.3" footer="0.3"/>
  <pageSetup paperSize="9" scale="31"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FFC000"/>
  </sheetPr>
  <dimension ref="A1:P199"/>
  <sheetViews>
    <sheetView topLeftCell="A48" zoomScaleNormal="100" workbookViewId="0">
      <selection activeCell="C84" sqref="C84"/>
    </sheetView>
  </sheetViews>
  <sheetFormatPr defaultRowHeight="15" x14ac:dyDescent="0.25"/>
  <cols>
    <col min="1" max="1" width="13.85546875" bestFit="1" customWidth="1"/>
    <col min="2" max="2" width="17" bestFit="1" customWidth="1"/>
    <col min="3" max="3" width="59.7109375" bestFit="1" customWidth="1"/>
    <col min="4" max="4" width="17" bestFit="1" customWidth="1"/>
    <col min="5" max="5" width="16.140625" bestFit="1" customWidth="1"/>
    <col min="6" max="6" width="14.5703125" bestFit="1" customWidth="1"/>
    <col min="7" max="7" width="15.85546875" bestFit="1" customWidth="1"/>
    <col min="8" max="8" width="22.140625" bestFit="1" customWidth="1"/>
    <col min="9" max="9" width="23.140625" bestFit="1" customWidth="1"/>
    <col min="10" max="10" width="18.5703125" bestFit="1" customWidth="1"/>
  </cols>
  <sheetData>
    <row r="1" spans="1:16" ht="30" x14ac:dyDescent="0.25">
      <c r="A1" s="302" t="s">
        <v>350</v>
      </c>
      <c r="B1" s="301" t="s">
        <v>351</v>
      </c>
      <c r="C1" s="301" t="s">
        <v>352</v>
      </c>
      <c r="D1" s="301" t="s">
        <v>307</v>
      </c>
      <c r="E1" s="301" t="s">
        <v>308</v>
      </c>
      <c r="F1" s="301" t="s">
        <v>353</v>
      </c>
      <c r="G1" s="301" t="s">
        <v>309</v>
      </c>
      <c r="H1" s="301" t="s">
        <v>310</v>
      </c>
      <c r="I1" s="301" t="s">
        <v>311</v>
      </c>
      <c r="J1" s="301" t="s">
        <v>312</v>
      </c>
      <c r="K1" s="57"/>
      <c r="L1" s="57"/>
      <c r="M1" s="57"/>
      <c r="N1" s="57"/>
      <c r="O1" s="57"/>
      <c r="P1" s="57"/>
    </row>
    <row r="2" spans="1:16" x14ac:dyDescent="0.25">
      <c r="A2" s="227" t="s">
        <v>290</v>
      </c>
      <c r="B2" s="227" t="s">
        <v>124</v>
      </c>
      <c r="C2" s="227" t="s">
        <v>371</v>
      </c>
      <c r="D2" s="228">
        <v>46023</v>
      </c>
      <c r="E2" s="228">
        <v>46112</v>
      </c>
      <c r="F2" s="227">
        <v>3850</v>
      </c>
      <c r="G2" s="227">
        <v>10</v>
      </c>
      <c r="H2" s="227">
        <v>19270</v>
      </c>
      <c r="I2" s="227">
        <v>1927</v>
      </c>
      <c r="J2" s="227">
        <v>10</v>
      </c>
      <c r="K2" s="57"/>
      <c r="L2" s="57"/>
      <c r="M2" s="57"/>
      <c r="N2" s="57"/>
      <c r="O2" s="57"/>
      <c r="P2" s="57"/>
    </row>
    <row r="3" spans="1:16" x14ac:dyDescent="0.25">
      <c r="A3" s="227" t="s">
        <v>290</v>
      </c>
      <c r="B3" s="227" t="s">
        <v>129</v>
      </c>
      <c r="C3" s="227" t="s">
        <v>303</v>
      </c>
      <c r="D3" s="228">
        <v>46023</v>
      </c>
      <c r="E3" s="228">
        <v>46112</v>
      </c>
      <c r="F3" s="227">
        <v>4250</v>
      </c>
      <c r="G3" s="227">
        <v>10</v>
      </c>
      <c r="H3" s="227">
        <v>18300</v>
      </c>
      <c r="I3" s="227">
        <v>1830</v>
      </c>
      <c r="J3" s="227">
        <v>10</v>
      </c>
      <c r="K3" s="57"/>
      <c r="L3" s="57"/>
      <c r="M3" s="57"/>
      <c r="N3" s="57"/>
      <c r="O3" s="57"/>
      <c r="P3" s="57"/>
    </row>
    <row r="4" spans="1:16" x14ac:dyDescent="0.25">
      <c r="A4" s="227" t="s">
        <v>290</v>
      </c>
      <c r="B4" s="227" t="s">
        <v>135</v>
      </c>
      <c r="C4" s="227" t="s">
        <v>423</v>
      </c>
      <c r="D4" s="228">
        <v>46023</v>
      </c>
      <c r="E4" s="228">
        <v>46112</v>
      </c>
      <c r="F4" s="227">
        <v>4200</v>
      </c>
      <c r="G4" s="227">
        <v>4</v>
      </c>
      <c r="H4" s="227">
        <v>15416</v>
      </c>
      <c r="I4" s="227">
        <v>3854</v>
      </c>
      <c r="J4" s="227">
        <v>4</v>
      </c>
      <c r="K4" s="57"/>
      <c r="L4" s="57"/>
      <c r="M4" s="57"/>
      <c r="N4" s="57"/>
      <c r="O4" s="57"/>
      <c r="P4" s="57"/>
    </row>
    <row r="5" spans="1:16" x14ac:dyDescent="0.25">
      <c r="A5" s="227" t="s">
        <v>290</v>
      </c>
      <c r="B5" s="227" t="s">
        <v>246</v>
      </c>
      <c r="C5" s="227" t="s">
        <v>461</v>
      </c>
      <c r="D5" s="228">
        <v>46023</v>
      </c>
      <c r="E5" s="228">
        <v>46112</v>
      </c>
      <c r="F5" s="227">
        <v>4100</v>
      </c>
      <c r="G5" s="227">
        <v>10</v>
      </c>
      <c r="H5" s="227">
        <v>19400</v>
      </c>
      <c r="I5" s="227">
        <v>1940</v>
      </c>
      <c r="J5" s="227">
        <v>10</v>
      </c>
      <c r="K5" s="57"/>
      <c r="L5" s="57"/>
      <c r="M5" s="57"/>
      <c r="N5" s="57"/>
      <c r="O5" s="57"/>
      <c r="P5" s="57"/>
    </row>
    <row r="6" spans="1:16" x14ac:dyDescent="0.25">
      <c r="A6" s="227" t="s">
        <v>290</v>
      </c>
      <c r="B6" s="227" t="s">
        <v>248</v>
      </c>
      <c r="C6" s="227" t="s">
        <v>462</v>
      </c>
      <c r="D6" s="228">
        <v>46023</v>
      </c>
      <c r="E6" s="228">
        <v>46112</v>
      </c>
      <c r="F6" s="227">
        <v>4200</v>
      </c>
      <c r="G6" s="227">
        <v>10</v>
      </c>
      <c r="H6" s="227">
        <v>19400</v>
      </c>
      <c r="I6" s="227">
        <v>1940</v>
      </c>
      <c r="J6" s="227">
        <v>10</v>
      </c>
      <c r="K6" s="57"/>
      <c r="L6" s="57"/>
      <c r="M6" s="57"/>
      <c r="N6" s="57"/>
      <c r="O6" s="57"/>
      <c r="P6" s="57"/>
    </row>
    <row r="7" spans="1:16" x14ac:dyDescent="0.25">
      <c r="A7" s="227" t="s">
        <v>290</v>
      </c>
      <c r="B7" s="227" t="s">
        <v>249</v>
      </c>
      <c r="C7" s="227" t="s">
        <v>463</v>
      </c>
      <c r="D7" s="228">
        <v>46023</v>
      </c>
      <c r="E7" s="228">
        <v>46112</v>
      </c>
      <c r="F7" s="227">
        <v>4200</v>
      </c>
      <c r="G7" s="227">
        <v>10</v>
      </c>
      <c r="H7" s="227">
        <v>19400</v>
      </c>
      <c r="I7" s="227">
        <v>1940</v>
      </c>
      <c r="J7" s="227">
        <v>10</v>
      </c>
      <c r="K7" s="57"/>
      <c r="L7" s="57"/>
      <c r="M7" s="57"/>
      <c r="N7" s="57"/>
      <c r="O7" s="57"/>
      <c r="P7" s="57"/>
    </row>
    <row r="8" spans="1:16" x14ac:dyDescent="0.25">
      <c r="A8" s="227" t="s">
        <v>290</v>
      </c>
      <c r="B8" s="227" t="s">
        <v>264</v>
      </c>
      <c r="C8" s="227" t="s">
        <v>302</v>
      </c>
      <c r="D8" s="228">
        <v>46023</v>
      </c>
      <c r="E8" s="228">
        <v>46112</v>
      </c>
      <c r="F8" s="227">
        <v>4300</v>
      </c>
      <c r="G8" s="227">
        <v>5</v>
      </c>
      <c r="H8" s="227">
        <v>17230</v>
      </c>
      <c r="I8" s="227">
        <v>3446</v>
      </c>
      <c r="J8" s="227">
        <v>5</v>
      </c>
      <c r="K8" s="57"/>
      <c r="L8" s="57"/>
      <c r="M8" s="57"/>
      <c r="N8" s="57"/>
      <c r="O8" s="57"/>
      <c r="P8" s="57"/>
    </row>
    <row r="9" spans="1:16" x14ac:dyDescent="0.25">
      <c r="A9" s="227" t="s">
        <v>290</v>
      </c>
      <c r="B9" s="227" t="s">
        <v>464</v>
      </c>
      <c r="C9" s="227" t="s">
        <v>530</v>
      </c>
      <c r="D9" s="228">
        <v>45992</v>
      </c>
      <c r="E9" s="228">
        <v>46112</v>
      </c>
      <c r="F9" s="227">
        <v>4670</v>
      </c>
      <c r="G9" s="227">
        <v>10</v>
      </c>
      <c r="H9" s="227">
        <v>19400</v>
      </c>
      <c r="I9" s="227">
        <v>1940</v>
      </c>
      <c r="J9" s="227">
        <v>10</v>
      </c>
      <c r="K9" s="57"/>
      <c r="L9" s="57"/>
      <c r="M9" s="57"/>
      <c r="N9" s="57"/>
      <c r="O9" s="57"/>
      <c r="P9" s="57"/>
    </row>
    <row r="10" spans="1:16" x14ac:dyDescent="0.25">
      <c r="A10" s="227" t="s">
        <v>288</v>
      </c>
      <c r="B10" s="227" t="s">
        <v>106</v>
      </c>
      <c r="C10" s="227" t="s">
        <v>298</v>
      </c>
      <c r="D10" s="228">
        <v>46023</v>
      </c>
      <c r="E10" s="228">
        <v>46112</v>
      </c>
      <c r="F10" s="227">
        <v>4111</v>
      </c>
      <c r="G10" s="227">
        <v>10</v>
      </c>
      <c r="H10" s="227">
        <v>21560</v>
      </c>
      <c r="I10" s="227">
        <v>2156</v>
      </c>
      <c r="J10" s="227">
        <v>4</v>
      </c>
      <c r="K10" s="57"/>
      <c r="L10" s="57"/>
      <c r="M10" s="57"/>
      <c r="N10" s="57"/>
      <c r="O10" s="57"/>
      <c r="P10" s="57"/>
    </row>
    <row r="11" spans="1:16" x14ac:dyDescent="0.25">
      <c r="A11" s="227" t="s">
        <v>288</v>
      </c>
      <c r="B11" s="227" t="s">
        <v>109</v>
      </c>
      <c r="C11" s="227" t="s">
        <v>372</v>
      </c>
      <c r="D11" s="228">
        <v>46023</v>
      </c>
      <c r="E11" s="228">
        <v>46112</v>
      </c>
      <c r="F11" s="227">
        <v>4773</v>
      </c>
      <c r="G11" s="227">
        <v>10</v>
      </c>
      <c r="H11" s="227">
        <v>15680</v>
      </c>
      <c r="I11" s="227">
        <v>1568</v>
      </c>
      <c r="J11" s="227">
        <v>10</v>
      </c>
      <c r="K11" s="57"/>
      <c r="L11" s="57"/>
      <c r="M11" s="57"/>
      <c r="N11" s="57"/>
      <c r="O11" s="57"/>
      <c r="P11" s="57"/>
    </row>
    <row r="12" spans="1:16" x14ac:dyDescent="0.25">
      <c r="A12" s="227" t="s">
        <v>288</v>
      </c>
      <c r="B12" s="227" t="s">
        <v>110</v>
      </c>
      <c r="C12" s="227" t="s">
        <v>373</v>
      </c>
      <c r="D12" s="228">
        <v>46023</v>
      </c>
      <c r="E12" s="228">
        <v>46112</v>
      </c>
      <c r="F12" s="227">
        <v>4476</v>
      </c>
      <c r="G12" s="227">
        <v>10</v>
      </c>
      <c r="H12" s="227">
        <v>15680</v>
      </c>
      <c r="I12" s="227">
        <v>1568</v>
      </c>
      <c r="J12" s="227">
        <v>10</v>
      </c>
      <c r="K12" s="57"/>
      <c r="L12" s="57"/>
      <c r="M12" s="57"/>
      <c r="N12" s="57"/>
      <c r="O12" s="57"/>
      <c r="P12" s="57"/>
    </row>
    <row r="13" spans="1:16" x14ac:dyDescent="0.25">
      <c r="A13" s="227" t="s">
        <v>288</v>
      </c>
      <c r="B13" s="227" t="s">
        <v>105</v>
      </c>
      <c r="C13" s="227" t="s">
        <v>299</v>
      </c>
      <c r="D13" s="228">
        <v>46023</v>
      </c>
      <c r="E13" s="228">
        <v>46112</v>
      </c>
      <c r="F13" s="227">
        <v>4861</v>
      </c>
      <c r="G13" s="227">
        <v>10</v>
      </c>
      <c r="H13" s="227">
        <v>15680</v>
      </c>
      <c r="I13" s="227">
        <v>1568</v>
      </c>
      <c r="J13" s="227">
        <v>10</v>
      </c>
      <c r="K13" s="57"/>
      <c r="L13" s="57"/>
      <c r="M13" s="57"/>
      <c r="N13" s="57"/>
      <c r="O13" s="57"/>
      <c r="P13" s="57"/>
    </row>
    <row r="14" spans="1:16" x14ac:dyDescent="0.25">
      <c r="A14" s="227" t="s">
        <v>288</v>
      </c>
      <c r="B14" s="227" t="s">
        <v>111</v>
      </c>
      <c r="C14" s="227" t="s">
        <v>374</v>
      </c>
      <c r="D14" s="228">
        <v>46023</v>
      </c>
      <c r="E14" s="228">
        <v>46112</v>
      </c>
      <c r="F14" s="227">
        <v>4092</v>
      </c>
      <c r="G14" s="227">
        <v>10</v>
      </c>
      <c r="H14" s="227">
        <v>19270</v>
      </c>
      <c r="I14" s="227">
        <v>1927</v>
      </c>
      <c r="J14" s="227">
        <v>4</v>
      </c>
      <c r="K14" s="57"/>
      <c r="L14" s="57"/>
      <c r="M14" s="57"/>
      <c r="N14" s="57"/>
      <c r="O14" s="57"/>
      <c r="P14" s="57"/>
    </row>
    <row r="15" spans="1:16" x14ac:dyDescent="0.25">
      <c r="A15" s="227" t="s">
        <v>288</v>
      </c>
      <c r="B15" s="227" t="s">
        <v>149</v>
      </c>
      <c r="C15" s="227" t="s">
        <v>375</v>
      </c>
      <c r="D15" s="228">
        <v>46023</v>
      </c>
      <c r="E15" s="228">
        <v>46112</v>
      </c>
      <c r="F15" s="227">
        <v>4917</v>
      </c>
      <c r="G15" s="227">
        <v>10</v>
      </c>
      <c r="H15" s="227">
        <v>21560</v>
      </c>
      <c r="I15" s="227">
        <v>2156</v>
      </c>
      <c r="J15" s="227">
        <v>10</v>
      </c>
      <c r="K15" s="57"/>
      <c r="L15" s="57"/>
      <c r="M15" s="57"/>
      <c r="N15" s="57"/>
      <c r="O15" s="57"/>
      <c r="P15" s="57"/>
    </row>
    <row r="16" spans="1:16" x14ac:dyDescent="0.25">
      <c r="A16" s="227" t="s">
        <v>288</v>
      </c>
      <c r="B16" s="227" t="s">
        <v>150</v>
      </c>
      <c r="C16" s="227" t="s">
        <v>376</v>
      </c>
      <c r="D16" s="228">
        <v>46023</v>
      </c>
      <c r="E16" s="228">
        <v>46112</v>
      </c>
      <c r="F16" s="227">
        <v>5052</v>
      </c>
      <c r="G16" s="227">
        <v>10</v>
      </c>
      <c r="H16" s="227">
        <v>21560</v>
      </c>
      <c r="I16" s="227">
        <v>2156</v>
      </c>
      <c r="J16" s="227">
        <v>10</v>
      </c>
      <c r="K16" s="57"/>
      <c r="L16" s="57"/>
      <c r="M16" s="57"/>
      <c r="N16" s="57"/>
      <c r="O16" s="57"/>
      <c r="P16" s="57"/>
    </row>
    <row r="17" spans="1:16" x14ac:dyDescent="0.25">
      <c r="A17" s="227" t="s">
        <v>288</v>
      </c>
      <c r="B17" s="227" t="s">
        <v>151</v>
      </c>
      <c r="C17" s="227" t="s">
        <v>377</v>
      </c>
      <c r="D17" s="228">
        <v>46023</v>
      </c>
      <c r="E17" s="228">
        <v>46112</v>
      </c>
      <c r="F17" s="227">
        <v>4682</v>
      </c>
      <c r="G17" s="227">
        <v>10</v>
      </c>
      <c r="H17" s="227">
        <v>21560</v>
      </c>
      <c r="I17" s="227">
        <v>2156</v>
      </c>
      <c r="J17" s="227">
        <v>10</v>
      </c>
      <c r="K17" s="57"/>
      <c r="L17" s="57"/>
      <c r="M17" s="57"/>
      <c r="N17" s="57"/>
      <c r="O17" s="57"/>
      <c r="P17" s="57"/>
    </row>
    <row r="18" spans="1:16" x14ac:dyDescent="0.25">
      <c r="A18" s="227" t="s">
        <v>288</v>
      </c>
      <c r="B18" s="227" t="s">
        <v>153</v>
      </c>
      <c r="C18" s="227" t="s">
        <v>378</v>
      </c>
      <c r="D18" s="228">
        <v>46023</v>
      </c>
      <c r="E18" s="228">
        <v>46112</v>
      </c>
      <c r="F18" s="227">
        <v>4109</v>
      </c>
      <c r="G18" s="227">
        <v>9.9</v>
      </c>
      <c r="H18" s="227">
        <v>19077.3</v>
      </c>
      <c r="I18" s="227">
        <v>1927</v>
      </c>
      <c r="J18" s="227">
        <v>18</v>
      </c>
      <c r="K18" s="57"/>
      <c r="L18" s="57"/>
      <c r="M18" s="57"/>
      <c r="N18" s="57"/>
      <c r="O18" s="57"/>
      <c r="P18" s="57"/>
    </row>
    <row r="19" spans="1:16" x14ac:dyDescent="0.25">
      <c r="A19" s="227" t="s">
        <v>288</v>
      </c>
      <c r="B19" s="227" t="s">
        <v>154</v>
      </c>
      <c r="C19" s="227" t="s">
        <v>379</v>
      </c>
      <c r="D19" s="228">
        <v>46023</v>
      </c>
      <c r="E19" s="228">
        <v>46112</v>
      </c>
      <c r="F19" s="227">
        <v>4090</v>
      </c>
      <c r="G19" s="227">
        <v>9.9</v>
      </c>
      <c r="H19" s="227">
        <v>19077.3</v>
      </c>
      <c r="I19" s="227">
        <v>1927</v>
      </c>
      <c r="J19" s="227">
        <v>18</v>
      </c>
      <c r="K19" s="57"/>
      <c r="L19" s="57"/>
      <c r="M19" s="57"/>
      <c r="N19" s="57"/>
      <c r="O19" s="57"/>
      <c r="P19" s="57"/>
    </row>
    <row r="20" spans="1:16" x14ac:dyDescent="0.25">
      <c r="A20" s="227" t="s">
        <v>288</v>
      </c>
      <c r="B20" s="227" t="s">
        <v>155</v>
      </c>
      <c r="C20" s="227" t="s">
        <v>531</v>
      </c>
      <c r="D20" s="228">
        <v>46023</v>
      </c>
      <c r="E20" s="228">
        <v>46112</v>
      </c>
      <c r="F20" s="227">
        <v>4065</v>
      </c>
      <c r="G20" s="227">
        <v>8.64</v>
      </c>
      <c r="H20" s="227">
        <v>16649.28</v>
      </c>
      <c r="I20" s="227">
        <v>1927</v>
      </c>
      <c r="J20" s="227">
        <v>18</v>
      </c>
      <c r="K20" s="57"/>
      <c r="L20" s="57"/>
      <c r="M20" s="57"/>
      <c r="N20" s="57"/>
      <c r="O20" s="57"/>
      <c r="P20" s="57"/>
    </row>
    <row r="21" spans="1:16" x14ac:dyDescent="0.25">
      <c r="A21" s="227" t="s">
        <v>288</v>
      </c>
      <c r="B21" s="227" t="s">
        <v>156</v>
      </c>
      <c r="C21" s="227" t="s">
        <v>380</v>
      </c>
      <c r="D21" s="228">
        <v>46023</v>
      </c>
      <c r="E21" s="228">
        <v>46112</v>
      </c>
      <c r="F21" s="227">
        <v>4081</v>
      </c>
      <c r="G21" s="227">
        <v>8.64</v>
      </c>
      <c r="H21" s="227">
        <v>16649.28</v>
      </c>
      <c r="I21" s="227">
        <v>1927</v>
      </c>
      <c r="J21" s="227">
        <v>18</v>
      </c>
      <c r="K21" s="57"/>
      <c r="L21" s="57"/>
      <c r="M21" s="57"/>
      <c r="N21" s="57"/>
      <c r="O21" s="57"/>
      <c r="P21" s="57"/>
    </row>
    <row r="22" spans="1:16" x14ac:dyDescent="0.25">
      <c r="A22" s="227" t="s">
        <v>288</v>
      </c>
      <c r="B22" s="227" t="s">
        <v>157</v>
      </c>
      <c r="C22" s="227" t="s">
        <v>381</v>
      </c>
      <c r="D22" s="228">
        <v>46023</v>
      </c>
      <c r="E22" s="228">
        <v>46112</v>
      </c>
      <c r="F22" s="227">
        <v>4173</v>
      </c>
      <c r="G22" s="227">
        <v>8.64</v>
      </c>
      <c r="H22" s="227">
        <v>16649.28</v>
      </c>
      <c r="I22" s="227">
        <v>1927</v>
      </c>
      <c r="J22" s="227">
        <v>18</v>
      </c>
      <c r="K22" s="57"/>
      <c r="L22" s="57"/>
      <c r="M22" s="57"/>
      <c r="N22" s="57"/>
      <c r="O22" s="57"/>
      <c r="P22" s="57"/>
    </row>
    <row r="23" spans="1:16" x14ac:dyDescent="0.25">
      <c r="A23" s="227" t="s">
        <v>288</v>
      </c>
      <c r="B23" s="227" t="s">
        <v>158</v>
      </c>
      <c r="C23" s="227" t="s">
        <v>382</v>
      </c>
      <c r="D23" s="228">
        <v>46023</v>
      </c>
      <c r="E23" s="228">
        <v>46112</v>
      </c>
      <c r="F23" s="227">
        <v>4069</v>
      </c>
      <c r="G23" s="227">
        <v>8.64</v>
      </c>
      <c r="H23" s="227">
        <v>16649.28</v>
      </c>
      <c r="I23" s="227">
        <v>1927</v>
      </c>
      <c r="J23" s="227">
        <v>18</v>
      </c>
      <c r="K23" s="57"/>
      <c r="L23" s="57"/>
      <c r="M23" s="57"/>
      <c r="N23" s="57"/>
      <c r="O23" s="57"/>
      <c r="P23" s="57"/>
    </row>
    <row r="24" spans="1:16" x14ac:dyDescent="0.25">
      <c r="A24" s="227" t="s">
        <v>288</v>
      </c>
      <c r="B24" s="227" t="s">
        <v>159</v>
      </c>
      <c r="C24" s="227" t="s">
        <v>383</v>
      </c>
      <c r="D24" s="228">
        <v>46023</v>
      </c>
      <c r="E24" s="228">
        <v>46112</v>
      </c>
      <c r="F24" s="227">
        <v>4066</v>
      </c>
      <c r="G24" s="227">
        <v>9.9</v>
      </c>
      <c r="H24" s="227">
        <v>19077.3</v>
      </c>
      <c r="I24" s="227">
        <v>1927</v>
      </c>
      <c r="J24" s="227">
        <v>18</v>
      </c>
      <c r="K24" s="57"/>
      <c r="L24" s="57"/>
      <c r="M24" s="57"/>
      <c r="N24" s="57"/>
      <c r="O24" s="57"/>
      <c r="P24" s="57"/>
    </row>
    <row r="25" spans="1:16" x14ac:dyDescent="0.25">
      <c r="A25" s="227" t="s">
        <v>288</v>
      </c>
      <c r="B25" s="227" t="s">
        <v>163</v>
      </c>
      <c r="C25" s="227" t="s">
        <v>384</v>
      </c>
      <c r="D25" s="228">
        <v>46023</v>
      </c>
      <c r="E25" s="228">
        <v>46112</v>
      </c>
      <c r="F25" s="227">
        <v>4111</v>
      </c>
      <c r="G25" s="227">
        <v>8.64</v>
      </c>
      <c r="H25" s="227">
        <v>16649.28</v>
      </c>
      <c r="I25" s="227">
        <v>1927</v>
      </c>
      <c r="J25" s="227">
        <v>18</v>
      </c>
      <c r="K25" s="57"/>
      <c r="L25" s="57"/>
      <c r="M25" s="57"/>
      <c r="N25" s="57"/>
      <c r="O25" s="57"/>
      <c r="P25" s="57"/>
    </row>
    <row r="26" spans="1:16" x14ac:dyDescent="0.25">
      <c r="A26" s="227" t="s">
        <v>288</v>
      </c>
      <c r="B26" s="227" t="s">
        <v>164</v>
      </c>
      <c r="C26" s="227" t="s">
        <v>385</v>
      </c>
      <c r="D26" s="228">
        <v>46023</v>
      </c>
      <c r="E26" s="228">
        <v>46112</v>
      </c>
      <c r="F26" s="227">
        <v>4097</v>
      </c>
      <c r="G26" s="227">
        <v>7</v>
      </c>
      <c r="H26" s="227">
        <v>16499</v>
      </c>
      <c r="I26" s="227">
        <v>2357</v>
      </c>
      <c r="J26" s="227">
        <v>14</v>
      </c>
      <c r="K26" s="57"/>
      <c r="L26" s="57"/>
      <c r="M26" s="57"/>
      <c r="N26" s="57"/>
      <c r="O26" s="57"/>
      <c r="P26" s="57"/>
    </row>
    <row r="27" spans="1:16" x14ac:dyDescent="0.25">
      <c r="A27" s="227" t="s">
        <v>288</v>
      </c>
      <c r="B27" s="227" t="s">
        <v>165</v>
      </c>
      <c r="C27" s="227" t="s">
        <v>386</v>
      </c>
      <c r="D27" s="228">
        <v>46023</v>
      </c>
      <c r="E27" s="228">
        <v>46112</v>
      </c>
      <c r="F27" s="227">
        <v>4138</v>
      </c>
      <c r="G27" s="227">
        <v>7</v>
      </c>
      <c r="H27" s="227">
        <v>16499</v>
      </c>
      <c r="I27" s="227">
        <v>2357</v>
      </c>
      <c r="J27" s="227">
        <v>14</v>
      </c>
      <c r="K27" s="57"/>
      <c r="L27" s="57"/>
      <c r="M27" s="57"/>
      <c r="N27" s="57"/>
      <c r="O27" s="57"/>
      <c r="P27" s="57"/>
    </row>
    <row r="28" spans="1:16" x14ac:dyDescent="0.25">
      <c r="A28" s="227" t="s">
        <v>288</v>
      </c>
      <c r="B28" s="227" t="s">
        <v>170</v>
      </c>
      <c r="C28" s="227" t="s">
        <v>387</v>
      </c>
      <c r="D28" s="228">
        <v>46023</v>
      </c>
      <c r="E28" s="228">
        <v>46112</v>
      </c>
      <c r="F28" s="227">
        <v>4379</v>
      </c>
      <c r="G28" s="227">
        <v>5.4</v>
      </c>
      <c r="H28" s="227">
        <v>15530.4</v>
      </c>
      <c r="I28" s="227">
        <v>2876</v>
      </c>
      <c r="J28" s="227">
        <v>12</v>
      </c>
      <c r="K28" s="57"/>
      <c r="L28" s="57"/>
      <c r="M28" s="57"/>
      <c r="N28" s="57"/>
      <c r="O28" s="57"/>
      <c r="P28" s="57"/>
    </row>
    <row r="29" spans="1:16" x14ac:dyDescent="0.25">
      <c r="A29" s="227" t="s">
        <v>288</v>
      </c>
      <c r="B29" s="227" t="s">
        <v>171</v>
      </c>
      <c r="C29" s="227" t="s">
        <v>388</v>
      </c>
      <c r="D29" s="228">
        <v>46023</v>
      </c>
      <c r="E29" s="228">
        <v>46112</v>
      </c>
      <c r="F29" s="227">
        <v>4174</v>
      </c>
      <c r="G29" s="227">
        <v>8.1</v>
      </c>
      <c r="H29" s="227">
        <v>19958.400000000001</v>
      </c>
      <c r="I29" s="227">
        <v>2464</v>
      </c>
      <c r="J29" s="227">
        <v>18</v>
      </c>
      <c r="K29" s="57"/>
      <c r="L29" s="57"/>
      <c r="M29" s="57"/>
      <c r="N29" s="57"/>
      <c r="O29" s="57"/>
      <c r="P29" s="57"/>
    </row>
    <row r="30" spans="1:16" x14ac:dyDescent="0.25">
      <c r="A30" s="227" t="s">
        <v>288</v>
      </c>
      <c r="B30" s="227" t="s">
        <v>172</v>
      </c>
      <c r="C30" s="227" t="s">
        <v>389</v>
      </c>
      <c r="D30" s="228">
        <v>46023</v>
      </c>
      <c r="E30" s="228">
        <v>46112</v>
      </c>
      <c r="F30" s="227">
        <v>4259</v>
      </c>
      <c r="G30" s="227">
        <v>7</v>
      </c>
      <c r="H30" s="227">
        <v>16499</v>
      </c>
      <c r="I30" s="227">
        <v>2357</v>
      </c>
      <c r="J30" s="227">
        <v>14</v>
      </c>
      <c r="K30" s="57"/>
      <c r="L30" s="57"/>
      <c r="M30" s="57"/>
      <c r="N30" s="57"/>
      <c r="O30" s="57"/>
      <c r="P30" s="57"/>
    </row>
    <row r="31" spans="1:16" x14ac:dyDescent="0.25">
      <c r="A31" s="227" t="s">
        <v>288</v>
      </c>
      <c r="B31" s="227" t="s">
        <v>175</v>
      </c>
      <c r="C31" s="227" t="s">
        <v>390</v>
      </c>
      <c r="D31" s="228">
        <v>46023</v>
      </c>
      <c r="E31" s="228">
        <v>46112</v>
      </c>
      <c r="F31" s="227">
        <v>4252</v>
      </c>
      <c r="G31" s="227">
        <v>9.9</v>
      </c>
      <c r="H31" s="227">
        <v>14295.6</v>
      </c>
      <c r="I31" s="227">
        <v>1444</v>
      </c>
      <c r="J31" s="227">
        <v>22</v>
      </c>
      <c r="K31" s="57"/>
      <c r="L31" s="57"/>
      <c r="M31" s="57"/>
      <c r="N31" s="57"/>
      <c r="O31" s="57"/>
      <c r="P31" s="57"/>
    </row>
    <row r="32" spans="1:16" x14ac:dyDescent="0.25">
      <c r="A32" s="227" t="s">
        <v>288</v>
      </c>
      <c r="B32" s="227" t="s">
        <v>176</v>
      </c>
      <c r="C32" s="227" t="s">
        <v>391</v>
      </c>
      <c r="D32" s="228">
        <v>46023</v>
      </c>
      <c r="E32" s="228">
        <v>46112</v>
      </c>
      <c r="F32" s="227">
        <v>4285</v>
      </c>
      <c r="G32" s="227">
        <v>9.9</v>
      </c>
      <c r="H32" s="227">
        <v>14295.6</v>
      </c>
      <c r="I32" s="227">
        <v>1444</v>
      </c>
      <c r="J32" s="227">
        <v>22</v>
      </c>
      <c r="K32" s="57"/>
      <c r="L32" s="57"/>
      <c r="M32" s="57"/>
      <c r="N32" s="57"/>
      <c r="O32" s="57"/>
      <c r="P32" s="57"/>
    </row>
    <row r="33" spans="1:16" x14ac:dyDescent="0.25">
      <c r="A33" s="227" t="s">
        <v>288</v>
      </c>
      <c r="B33" s="227" t="s">
        <v>177</v>
      </c>
      <c r="C33" s="227" t="s">
        <v>392</v>
      </c>
      <c r="D33" s="228">
        <v>46023</v>
      </c>
      <c r="E33" s="228">
        <v>46112</v>
      </c>
      <c r="F33" s="227">
        <v>4313</v>
      </c>
      <c r="G33" s="227">
        <v>9.9</v>
      </c>
      <c r="H33" s="227">
        <v>14295.6</v>
      </c>
      <c r="I33" s="227">
        <v>1444</v>
      </c>
      <c r="J33" s="227">
        <v>22</v>
      </c>
      <c r="K33" s="57"/>
      <c r="L33" s="57"/>
      <c r="M33" s="57"/>
      <c r="N33" s="57"/>
      <c r="O33" s="57"/>
      <c r="P33" s="57"/>
    </row>
    <row r="34" spans="1:16" x14ac:dyDescent="0.25">
      <c r="A34" s="227" t="s">
        <v>288</v>
      </c>
      <c r="B34" s="227" t="s">
        <v>178</v>
      </c>
      <c r="C34" s="227" t="s">
        <v>393</v>
      </c>
      <c r="D34" s="228">
        <v>46023</v>
      </c>
      <c r="E34" s="228">
        <v>46112</v>
      </c>
      <c r="F34" s="227">
        <v>5162</v>
      </c>
      <c r="G34" s="227">
        <v>6.72</v>
      </c>
      <c r="H34" s="227">
        <v>15583.68</v>
      </c>
      <c r="I34" s="227">
        <v>2319</v>
      </c>
      <c r="J34" s="227">
        <v>14</v>
      </c>
      <c r="K34" s="57"/>
      <c r="L34" s="57"/>
      <c r="M34" s="57"/>
      <c r="N34" s="57"/>
      <c r="O34" s="57"/>
      <c r="P34" s="57"/>
    </row>
    <row r="35" spans="1:16" x14ac:dyDescent="0.25">
      <c r="A35" s="227" t="s">
        <v>288</v>
      </c>
      <c r="B35" s="227" t="s">
        <v>179</v>
      </c>
      <c r="C35" s="227" t="s">
        <v>394</v>
      </c>
      <c r="D35" s="228">
        <v>46022</v>
      </c>
      <c r="E35" s="228">
        <v>46112</v>
      </c>
      <c r="F35" s="227">
        <v>4825</v>
      </c>
      <c r="G35" s="227">
        <v>6.72</v>
      </c>
      <c r="H35" s="227">
        <v>15583.68</v>
      </c>
      <c r="I35" s="227">
        <v>2319</v>
      </c>
      <c r="J35" s="227">
        <v>14</v>
      </c>
      <c r="K35" s="57"/>
      <c r="L35" s="57"/>
      <c r="M35" s="57"/>
      <c r="N35" s="57"/>
      <c r="O35" s="57"/>
      <c r="P35" s="57"/>
    </row>
    <row r="36" spans="1:16" x14ac:dyDescent="0.25">
      <c r="A36" s="227" t="s">
        <v>288</v>
      </c>
      <c r="B36" s="227" t="s">
        <v>180</v>
      </c>
      <c r="C36" s="227" t="s">
        <v>395</v>
      </c>
      <c r="D36" s="228">
        <v>46023</v>
      </c>
      <c r="E36" s="228">
        <v>46112</v>
      </c>
      <c r="F36" s="227">
        <v>4727</v>
      </c>
      <c r="G36" s="227">
        <v>6.72</v>
      </c>
      <c r="H36" s="227">
        <v>15583.68</v>
      </c>
      <c r="I36" s="227">
        <v>2319</v>
      </c>
      <c r="J36" s="227">
        <v>14</v>
      </c>
      <c r="K36" s="57"/>
      <c r="L36" s="57"/>
      <c r="M36" s="57"/>
      <c r="N36" s="57"/>
      <c r="O36" s="57"/>
      <c r="P36" s="57"/>
    </row>
    <row r="37" spans="1:16" x14ac:dyDescent="0.25">
      <c r="A37" s="227" t="s">
        <v>288</v>
      </c>
      <c r="B37" s="227" t="s">
        <v>184</v>
      </c>
      <c r="C37" s="227" t="s">
        <v>396</v>
      </c>
      <c r="D37" s="228">
        <v>46023</v>
      </c>
      <c r="E37" s="228">
        <v>46112</v>
      </c>
      <c r="F37" s="227">
        <v>4253</v>
      </c>
      <c r="G37" s="227">
        <v>9.9</v>
      </c>
      <c r="H37" s="227">
        <v>19077.3</v>
      </c>
      <c r="I37" s="227">
        <v>1927</v>
      </c>
      <c r="J37" s="227">
        <v>18</v>
      </c>
      <c r="K37" s="57"/>
      <c r="L37" s="57"/>
      <c r="M37" s="57"/>
      <c r="N37" s="57"/>
      <c r="O37" s="57"/>
      <c r="P37" s="57"/>
    </row>
    <row r="38" spans="1:16" x14ac:dyDescent="0.25">
      <c r="A38" s="227" t="s">
        <v>288</v>
      </c>
      <c r="B38" s="227" t="s">
        <v>188</v>
      </c>
      <c r="C38" s="227" t="s">
        <v>397</v>
      </c>
      <c r="D38" s="228">
        <v>46023</v>
      </c>
      <c r="E38" s="228">
        <v>46112</v>
      </c>
      <c r="F38" s="227">
        <v>4908</v>
      </c>
      <c r="G38" s="227">
        <v>9.9</v>
      </c>
      <c r="H38" s="227">
        <v>19077.3</v>
      </c>
      <c r="I38" s="227">
        <v>1927</v>
      </c>
      <c r="J38" s="227">
        <v>18</v>
      </c>
      <c r="K38" s="57"/>
      <c r="L38" s="57"/>
      <c r="M38" s="57"/>
      <c r="N38" s="57"/>
      <c r="O38" s="57"/>
      <c r="P38" s="57"/>
    </row>
    <row r="39" spans="1:16" x14ac:dyDescent="0.25">
      <c r="A39" s="227" t="s">
        <v>288</v>
      </c>
      <c r="B39" s="227" t="s">
        <v>189</v>
      </c>
      <c r="C39" s="227" t="s">
        <v>398</v>
      </c>
      <c r="D39" s="228">
        <v>46023</v>
      </c>
      <c r="E39" s="228">
        <v>46112</v>
      </c>
      <c r="F39" s="227">
        <v>4865</v>
      </c>
      <c r="G39" s="227">
        <v>9.9</v>
      </c>
      <c r="H39" s="227">
        <v>19077.3</v>
      </c>
      <c r="I39" s="227">
        <v>1927</v>
      </c>
      <c r="J39" s="227">
        <v>18</v>
      </c>
      <c r="K39" s="57"/>
      <c r="L39" s="57"/>
      <c r="M39" s="57"/>
      <c r="N39" s="57"/>
      <c r="O39" s="57"/>
      <c r="P39" s="57"/>
    </row>
    <row r="40" spans="1:16" x14ac:dyDescent="0.25">
      <c r="A40" s="227" t="s">
        <v>288</v>
      </c>
      <c r="B40" s="227" t="s">
        <v>209</v>
      </c>
      <c r="C40" s="227" t="s">
        <v>399</v>
      </c>
      <c r="D40" s="228">
        <v>46023</v>
      </c>
      <c r="E40" s="228">
        <v>46112</v>
      </c>
      <c r="F40" s="227">
        <v>5315</v>
      </c>
      <c r="G40" s="227">
        <v>6.72</v>
      </c>
      <c r="H40" s="227">
        <v>15583.68</v>
      </c>
      <c r="I40" s="227">
        <v>2319</v>
      </c>
      <c r="J40" s="227">
        <v>14</v>
      </c>
      <c r="K40" s="57"/>
      <c r="L40" s="57"/>
      <c r="M40" s="57"/>
      <c r="N40" s="57"/>
      <c r="O40" s="57"/>
      <c r="P40" s="57"/>
    </row>
    <row r="41" spans="1:16" x14ac:dyDescent="0.25">
      <c r="A41" s="227" t="s">
        <v>288</v>
      </c>
      <c r="B41" s="227" t="s">
        <v>210</v>
      </c>
      <c r="C41" s="227" t="s">
        <v>400</v>
      </c>
      <c r="D41" s="228">
        <v>46023</v>
      </c>
      <c r="E41" s="228">
        <v>46112</v>
      </c>
      <c r="F41" s="227">
        <v>5428</v>
      </c>
      <c r="G41" s="227">
        <v>6.72</v>
      </c>
      <c r="H41" s="227">
        <v>15583.68</v>
      </c>
      <c r="I41" s="227">
        <v>2319</v>
      </c>
      <c r="J41" s="227">
        <v>14</v>
      </c>
      <c r="K41" s="57"/>
      <c r="L41" s="57"/>
      <c r="M41" s="57"/>
      <c r="N41" s="57"/>
      <c r="O41" s="57"/>
      <c r="P41" s="57"/>
    </row>
    <row r="42" spans="1:16" x14ac:dyDescent="0.25">
      <c r="A42" s="227" t="s">
        <v>288</v>
      </c>
      <c r="B42" s="227" t="s">
        <v>112</v>
      </c>
      <c r="C42" s="227" t="s">
        <v>401</v>
      </c>
      <c r="D42" s="228">
        <v>46023</v>
      </c>
      <c r="E42" s="228">
        <v>46112</v>
      </c>
      <c r="F42" s="227">
        <v>4403</v>
      </c>
      <c r="G42" s="227">
        <v>9.6</v>
      </c>
      <c r="H42" s="227">
        <v>20697.599999999999</v>
      </c>
      <c r="I42" s="227">
        <v>2156</v>
      </c>
      <c r="J42" s="227">
        <v>10</v>
      </c>
      <c r="K42" s="57"/>
      <c r="L42" s="57"/>
      <c r="M42" s="57"/>
      <c r="N42" s="57"/>
      <c r="O42" s="57"/>
      <c r="P42" s="57"/>
    </row>
    <row r="43" spans="1:16" x14ac:dyDescent="0.25">
      <c r="A43" s="227" t="s">
        <v>288</v>
      </c>
      <c r="B43" s="227" t="s">
        <v>113</v>
      </c>
      <c r="C43" s="227" t="s">
        <v>402</v>
      </c>
      <c r="D43" s="228">
        <v>46023</v>
      </c>
      <c r="E43" s="228">
        <v>46112</v>
      </c>
      <c r="F43" s="227">
        <v>4368</v>
      </c>
      <c r="G43" s="227">
        <v>10</v>
      </c>
      <c r="H43" s="227">
        <v>19270</v>
      </c>
      <c r="I43" s="227">
        <v>1927</v>
      </c>
      <c r="J43" s="227">
        <v>10</v>
      </c>
      <c r="K43" s="57"/>
      <c r="L43" s="57"/>
      <c r="M43" s="57"/>
      <c r="N43" s="57"/>
      <c r="O43" s="57"/>
      <c r="P43" s="57"/>
    </row>
    <row r="44" spans="1:16" x14ac:dyDescent="0.25">
      <c r="A44" s="227" t="s">
        <v>288</v>
      </c>
      <c r="B44" s="227" t="s">
        <v>114</v>
      </c>
      <c r="C44" s="227" t="s">
        <v>403</v>
      </c>
      <c r="D44" s="228">
        <v>46023</v>
      </c>
      <c r="E44" s="228">
        <v>46112</v>
      </c>
      <c r="F44" s="227">
        <v>4448</v>
      </c>
      <c r="G44" s="227">
        <v>10</v>
      </c>
      <c r="H44" s="227">
        <v>19270</v>
      </c>
      <c r="I44" s="227">
        <v>1927</v>
      </c>
      <c r="J44" s="227">
        <v>10</v>
      </c>
      <c r="K44" s="57"/>
      <c r="L44" s="57"/>
      <c r="M44" s="57"/>
      <c r="N44" s="57"/>
      <c r="O44" s="57"/>
      <c r="P44" s="57"/>
    </row>
    <row r="45" spans="1:16" x14ac:dyDescent="0.25">
      <c r="A45" s="227" t="s">
        <v>288</v>
      </c>
      <c r="B45" s="227" t="s">
        <v>116</v>
      </c>
      <c r="C45" s="227" t="s">
        <v>300</v>
      </c>
      <c r="D45" s="228">
        <v>46023</v>
      </c>
      <c r="E45" s="228">
        <v>46112</v>
      </c>
      <c r="F45" s="227">
        <v>3856</v>
      </c>
      <c r="G45" s="227">
        <v>2</v>
      </c>
      <c r="H45" s="227">
        <v>17176</v>
      </c>
      <c r="I45" s="227">
        <v>8588</v>
      </c>
      <c r="J45" s="227">
        <v>1</v>
      </c>
      <c r="K45" s="57"/>
      <c r="L45" s="57"/>
      <c r="M45" s="57"/>
      <c r="N45" s="57"/>
      <c r="O45" s="57"/>
      <c r="P45" s="57"/>
    </row>
    <row r="46" spans="1:16" x14ac:dyDescent="0.25">
      <c r="A46" s="227" t="s">
        <v>288</v>
      </c>
      <c r="B46" s="227" t="s">
        <v>117</v>
      </c>
      <c r="C46" s="227" t="s">
        <v>404</v>
      </c>
      <c r="D46" s="228">
        <v>46023</v>
      </c>
      <c r="E46" s="228">
        <v>46112</v>
      </c>
      <c r="F46" s="227">
        <v>3744</v>
      </c>
      <c r="G46" s="227">
        <v>10</v>
      </c>
      <c r="H46" s="227">
        <v>21560</v>
      </c>
      <c r="I46" s="227">
        <v>2156</v>
      </c>
      <c r="J46" s="227">
        <v>5</v>
      </c>
      <c r="K46" s="57"/>
      <c r="L46" s="57"/>
      <c r="M46" s="57"/>
      <c r="N46" s="57"/>
      <c r="O46" s="57"/>
      <c r="P46" s="57"/>
    </row>
    <row r="47" spans="1:16" x14ac:dyDescent="0.25">
      <c r="A47" s="227" t="s">
        <v>288</v>
      </c>
      <c r="B47" s="227" t="s">
        <v>118</v>
      </c>
      <c r="C47" s="227" t="s">
        <v>405</v>
      </c>
      <c r="D47" s="228">
        <v>46023</v>
      </c>
      <c r="E47" s="228">
        <v>46112</v>
      </c>
      <c r="F47" s="227">
        <v>4034</v>
      </c>
      <c r="G47" s="227">
        <v>10</v>
      </c>
      <c r="H47" s="227">
        <v>19270</v>
      </c>
      <c r="I47" s="227">
        <v>1927</v>
      </c>
      <c r="J47" s="227">
        <v>10</v>
      </c>
      <c r="K47" s="57"/>
      <c r="L47" s="57"/>
      <c r="M47" s="57"/>
      <c r="N47" s="57"/>
      <c r="O47" s="57"/>
      <c r="P47" s="57"/>
    </row>
    <row r="48" spans="1:16" x14ac:dyDescent="0.25">
      <c r="A48" s="227" t="s">
        <v>288</v>
      </c>
      <c r="B48" s="227" t="s">
        <v>119</v>
      </c>
      <c r="C48" s="227" t="s">
        <v>406</v>
      </c>
      <c r="D48" s="228">
        <v>46023</v>
      </c>
      <c r="E48" s="228">
        <v>46112</v>
      </c>
      <c r="F48" s="227">
        <v>4180</v>
      </c>
      <c r="G48" s="227">
        <v>10.8</v>
      </c>
      <c r="H48" s="227">
        <v>20811.599999999999</v>
      </c>
      <c r="I48" s="227">
        <v>1927</v>
      </c>
      <c r="J48" s="227">
        <v>10</v>
      </c>
      <c r="K48" s="57"/>
      <c r="L48" s="57"/>
      <c r="M48" s="57"/>
      <c r="N48" s="57"/>
      <c r="O48" s="57"/>
      <c r="P48" s="57"/>
    </row>
    <row r="49" spans="1:16" x14ac:dyDescent="0.25">
      <c r="A49" s="227" t="s">
        <v>288</v>
      </c>
      <c r="B49" s="227" t="s">
        <v>213</v>
      </c>
      <c r="C49" s="227" t="s">
        <v>408</v>
      </c>
      <c r="D49" s="228">
        <v>46023</v>
      </c>
      <c r="E49" s="228">
        <v>46112</v>
      </c>
      <c r="F49" s="227">
        <v>3922</v>
      </c>
      <c r="G49" s="227">
        <v>10</v>
      </c>
      <c r="H49" s="227">
        <v>19270</v>
      </c>
      <c r="I49" s="227">
        <v>1927</v>
      </c>
      <c r="J49" s="227">
        <v>5</v>
      </c>
      <c r="K49" s="57"/>
      <c r="L49" s="57"/>
      <c r="M49" s="57"/>
      <c r="N49" s="57"/>
      <c r="O49" s="57"/>
      <c r="P49" s="57"/>
    </row>
    <row r="50" spans="1:16" x14ac:dyDescent="0.25">
      <c r="A50" s="227" t="s">
        <v>288</v>
      </c>
      <c r="B50" s="227" t="s">
        <v>124</v>
      </c>
      <c r="C50" s="227" t="s">
        <v>371</v>
      </c>
      <c r="D50" s="228">
        <v>46023</v>
      </c>
      <c r="E50" s="228">
        <v>46112</v>
      </c>
      <c r="F50" s="227">
        <v>3780</v>
      </c>
      <c r="G50" s="227">
        <v>10</v>
      </c>
      <c r="H50" s="227">
        <v>19270</v>
      </c>
      <c r="I50" s="227">
        <v>1927</v>
      </c>
      <c r="J50" s="227">
        <v>10</v>
      </c>
      <c r="K50" s="57"/>
      <c r="L50" s="57"/>
      <c r="M50" s="57"/>
      <c r="N50" s="57"/>
      <c r="O50" s="57"/>
      <c r="P50" s="57"/>
    </row>
    <row r="51" spans="1:16" x14ac:dyDescent="0.25">
      <c r="A51" s="227" t="s">
        <v>288</v>
      </c>
      <c r="B51" s="227" t="s">
        <v>216</v>
      </c>
      <c r="C51" s="227" t="s">
        <v>409</v>
      </c>
      <c r="D51" s="228">
        <v>46023</v>
      </c>
      <c r="E51" s="228">
        <v>46112</v>
      </c>
      <c r="F51" s="227">
        <v>3862</v>
      </c>
      <c r="G51" s="227">
        <v>10</v>
      </c>
      <c r="H51" s="227">
        <v>19270</v>
      </c>
      <c r="I51" s="227">
        <v>1927</v>
      </c>
      <c r="J51" s="227">
        <v>10</v>
      </c>
      <c r="K51" s="57"/>
      <c r="L51" s="57"/>
      <c r="M51" s="57"/>
      <c r="N51" s="57"/>
      <c r="O51" s="57"/>
      <c r="P51" s="57"/>
    </row>
    <row r="52" spans="1:16" x14ac:dyDescent="0.25">
      <c r="A52" s="227" t="s">
        <v>288</v>
      </c>
      <c r="B52" s="227" t="s">
        <v>218</v>
      </c>
      <c r="C52" s="227" t="s">
        <v>410</v>
      </c>
      <c r="D52" s="228">
        <v>46023</v>
      </c>
      <c r="E52" s="228">
        <v>46112</v>
      </c>
      <c r="F52" s="227">
        <v>3815</v>
      </c>
      <c r="G52" s="227">
        <v>10</v>
      </c>
      <c r="H52" s="227">
        <v>21560</v>
      </c>
      <c r="I52" s="227">
        <v>2156</v>
      </c>
      <c r="J52" s="227">
        <v>5</v>
      </c>
      <c r="K52" s="57"/>
      <c r="L52" s="57"/>
      <c r="M52" s="57"/>
      <c r="N52" s="57"/>
      <c r="O52" s="57"/>
      <c r="P52" s="57"/>
    </row>
    <row r="53" spans="1:16" x14ac:dyDescent="0.25">
      <c r="A53" s="227" t="s">
        <v>288</v>
      </c>
      <c r="B53" s="227" t="s">
        <v>127</v>
      </c>
      <c r="C53" s="227" t="s">
        <v>301</v>
      </c>
      <c r="D53" s="228">
        <v>46023</v>
      </c>
      <c r="E53" s="228">
        <v>46112</v>
      </c>
      <c r="F53" s="227">
        <v>3791</v>
      </c>
      <c r="G53" s="227">
        <v>9.6</v>
      </c>
      <c r="H53" s="227">
        <v>20697.599999999999</v>
      </c>
      <c r="I53" s="227">
        <v>2156</v>
      </c>
      <c r="J53" s="227">
        <v>4</v>
      </c>
      <c r="K53" s="57"/>
      <c r="L53" s="57"/>
      <c r="M53" s="57"/>
      <c r="N53" s="57"/>
      <c r="O53" s="57"/>
      <c r="P53" s="57"/>
    </row>
    <row r="54" spans="1:16" x14ac:dyDescent="0.25">
      <c r="A54" s="227" t="s">
        <v>288</v>
      </c>
      <c r="B54" s="227" t="s">
        <v>221</v>
      </c>
      <c r="C54" s="227" t="s">
        <v>411</v>
      </c>
      <c r="D54" s="228">
        <v>46023</v>
      </c>
      <c r="E54" s="228">
        <v>46112</v>
      </c>
      <c r="F54" s="227">
        <v>4650</v>
      </c>
      <c r="G54" s="227">
        <v>8</v>
      </c>
      <c r="H54" s="227">
        <v>17248</v>
      </c>
      <c r="I54" s="227">
        <v>2156</v>
      </c>
      <c r="J54" s="227">
        <v>4</v>
      </c>
      <c r="K54" s="57"/>
      <c r="L54" s="57"/>
      <c r="M54" s="57"/>
      <c r="N54" s="57"/>
      <c r="O54" s="57"/>
      <c r="P54" s="57"/>
    </row>
    <row r="55" spans="1:16" x14ac:dyDescent="0.25">
      <c r="A55" s="227" t="s">
        <v>288</v>
      </c>
      <c r="B55" s="227" t="s">
        <v>222</v>
      </c>
      <c r="C55" s="227" t="s">
        <v>356</v>
      </c>
      <c r="D55" s="228">
        <v>46023</v>
      </c>
      <c r="E55" s="228">
        <v>46112</v>
      </c>
      <c r="F55" s="227">
        <v>4550</v>
      </c>
      <c r="G55" s="227">
        <v>3</v>
      </c>
      <c r="H55" s="227">
        <v>16200</v>
      </c>
      <c r="I55" s="227">
        <v>5400</v>
      </c>
      <c r="J55" s="227">
        <v>3</v>
      </c>
      <c r="K55" s="57"/>
      <c r="L55" s="57"/>
      <c r="M55" s="57"/>
      <c r="N55" s="57"/>
      <c r="O55" s="57"/>
      <c r="P55" s="57"/>
    </row>
    <row r="56" spans="1:16" x14ac:dyDescent="0.25">
      <c r="A56" s="227" t="s">
        <v>288</v>
      </c>
      <c r="B56" s="227" t="s">
        <v>465</v>
      </c>
      <c r="C56" s="227" t="s">
        <v>466</v>
      </c>
      <c r="D56" s="228">
        <v>46023</v>
      </c>
      <c r="E56" s="228">
        <v>46112</v>
      </c>
      <c r="F56" s="227">
        <v>4750</v>
      </c>
      <c r="G56" s="227">
        <v>3</v>
      </c>
      <c r="H56" s="227">
        <v>14400</v>
      </c>
      <c r="I56" s="227">
        <v>4800</v>
      </c>
      <c r="J56" s="227">
        <v>3</v>
      </c>
      <c r="K56" s="57"/>
      <c r="L56" s="57"/>
      <c r="M56" s="57"/>
      <c r="N56" s="57"/>
      <c r="O56" s="57"/>
      <c r="P56" s="57"/>
    </row>
    <row r="57" spans="1:16" x14ac:dyDescent="0.25">
      <c r="A57" s="227" t="s">
        <v>288</v>
      </c>
      <c r="B57" s="227" t="s">
        <v>223</v>
      </c>
      <c r="C57" s="227" t="s">
        <v>412</v>
      </c>
      <c r="D57" s="228">
        <v>46023</v>
      </c>
      <c r="E57" s="228">
        <v>46112</v>
      </c>
      <c r="F57" s="227">
        <v>3961</v>
      </c>
      <c r="G57" s="227">
        <v>10</v>
      </c>
      <c r="H57" s="227">
        <v>19270</v>
      </c>
      <c r="I57" s="227">
        <v>1927</v>
      </c>
      <c r="J57" s="227">
        <v>5</v>
      </c>
      <c r="K57" s="57"/>
      <c r="L57" s="57"/>
      <c r="M57" s="57"/>
      <c r="N57" s="57"/>
      <c r="O57" s="57"/>
      <c r="P57" s="57"/>
    </row>
    <row r="58" spans="1:16" x14ac:dyDescent="0.25">
      <c r="A58" s="227" t="s">
        <v>288</v>
      </c>
      <c r="B58" s="227" t="s">
        <v>224</v>
      </c>
      <c r="C58" s="227" t="s">
        <v>413</v>
      </c>
      <c r="D58" s="228">
        <v>46023</v>
      </c>
      <c r="E58" s="228">
        <v>46112</v>
      </c>
      <c r="F58" s="227">
        <v>3949</v>
      </c>
      <c r="G58" s="227">
        <v>10</v>
      </c>
      <c r="H58" s="227">
        <v>19270</v>
      </c>
      <c r="I58" s="227">
        <v>1927</v>
      </c>
      <c r="J58" s="227">
        <v>10</v>
      </c>
      <c r="K58" s="57"/>
      <c r="L58" s="57"/>
      <c r="M58" s="57"/>
      <c r="N58" s="57"/>
      <c r="O58" s="57"/>
      <c r="P58" s="57"/>
    </row>
    <row r="59" spans="1:16" x14ac:dyDescent="0.25">
      <c r="A59" s="227" t="s">
        <v>288</v>
      </c>
      <c r="B59" s="227" t="s">
        <v>107</v>
      </c>
      <c r="C59" s="227" t="s">
        <v>414</v>
      </c>
      <c r="D59" s="228">
        <v>46023</v>
      </c>
      <c r="E59" s="228">
        <v>46112</v>
      </c>
      <c r="F59" s="227">
        <v>4378</v>
      </c>
      <c r="G59" s="227">
        <v>10</v>
      </c>
      <c r="H59" s="227">
        <v>19270</v>
      </c>
      <c r="I59" s="227">
        <v>1927</v>
      </c>
      <c r="J59" s="227">
        <v>10</v>
      </c>
      <c r="K59" s="57"/>
      <c r="L59" s="57"/>
      <c r="M59" s="57"/>
      <c r="N59" s="57"/>
      <c r="O59" s="57"/>
      <c r="P59" s="57"/>
    </row>
    <row r="60" spans="1:16" x14ac:dyDescent="0.25">
      <c r="A60" s="227" t="s">
        <v>288</v>
      </c>
      <c r="B60" s="227" t="s">
        <v>415</v>
      </c>
      <c r="C60" s="227" t="s">
        <v>416</v>
      </c>
      <c r="D60" s="228">
        <v>46023</v>
      </c>
      <c r="E60" s="228">
        <v>46112</v>
      </c>
      <c r="F60" s="227">
        <v>4075</v>
      </c>
      <c r="G60" s="227">
        <v>10</v>
      </c>
      <c r="H60" s="227">
        <v>19270</v>
      </c>
      <c r="I60" s="227">
        <v>1927</v>
      </c>
      <c r="J60" s="227">
        <v>5</v>
      </c>
      <c r="K60" s="57"/>
      <c r="L60" s="57"/>
      <c r="M60" s="57"/>
      <c r="N60" s="57"/>
      <c r="O60" s="57"/>
      <c r="P60" s="57"/>
    </row>
    <row r="61" spans="1:16" x14ac:dyDescent="0.25">
      <c r="A61" s="227" t="s">
        <v>288</v>
      </c>
      <c r="B61" s="227" t="s">
        <v>130</v>
      </c>
      <c r="C61" s="227" t="s">
        <v>417</v>
      </c>
      <c r="D61" s="228">
        <v>46023</v>
      </c>
      <c r="E61" s="228">
        <v>46112</v>
      </c>
      <c r="F61" s="227">
        <v>4135</v>
      </c>
      <c r="G61" s="227">
        <v>10</v>
      </c>
      <c r="H61" s="227">
        <v>19270</v>
      </c>
      <c r="I61" s="227">
        <v>1927</v>
      </c>
      <c r="J61" s="227">
        <v>10</v>
      </c>
      <c r="K61" s="57"/>
      <c r="L61" s="57"/>
      <c r="M61" s="57"/>
      <c r="N61" s="57"/>
      <c r="O61" s="57"/>
      <c r="P61" s="57"/>
    </row>
    <row r="62" spans="1:16" x14ac:dyDescent="0.25">
      <c r="A62" s="227" t="s">
        <v>288</v>
      </c>
      <c r="B62" s="227" t="s">
        <v>131</v>
      </c>
      <c r="C62" s="227" t="s">
        <v>418</v>
      </c>
      <c r="D62" s="228">
        <v>46023</v>
      </c>
      <c r="E62" s="228">
        <v>46112</v>
      </c>
      <c r="F62" s="227">
        <v>4172</v>
      </c>
      <c r="G62" s="227">
        <v>3.84</v>
      </c>
      <c r="H62" s="227">
        <v>15571.2</v>
      </c>
      <c r="I62" s="227">
        <v>4055</v>
      </c>
      <c r="J62" s="227">
        <v>4</v>
      </c>
      <c r="K62" s="57"/>
      <c r="L62" s="57"/>
      <c r="M62" s="57"/>
      <c r="N62" s="57"/>
      <c r="O62" s="57"/>
      <c r="P62" s="57"/>
    </row>
    <row r="63" spans="1:16" x14ac:dyDescent="0.25">
      <c r="A63" s="227" t="s">
        <v>288</v>
      </c>
      <c r="B63" s="227" t="s">
        <v>227</v>
      </c>
      <c r="C63" s="227" t="s">
        <v>419</v>
      </c>
      <c r="D63" s="228">
        <v>46023</v>
      </c>
      <c r="E63" s="228">
        <v>46112</v>
      </c>
      <c r="F63" s="227">
        <v>4356</v>
      </c>
      <c r="G63" s="227">
        <v>3.84</v>
      </c>
      <c r="H63" s="227">
        <v>15571.2</v>
      </c>
      <c r="I63" s="227">
        <v>4055</v>
      </c>
      <c r="J63" s="227">
        <v>4</v>
      </c>
      <c r="K63" s="57"/>
      <c r="L63" s="57"/>
      <c r="M63" s="57"/>
      <c r="N63" s="57"/>
      <c r="O63" s="57"/>
      <c r="P63" s="57"/>
    </row>
    <row r="64" spans="1:16" x14ac:dyDescent="0.25">
      <c r="A64" s="227" t="s">
        <v>288</v>
      </c>
      <c r="B64" s="227" t="s">
        <v>132</v>
      </c>
      <c r="C64" s="227" t="s">
        <v>420</v>
      </c>
      <c r="D64" s="228">
        <v>46023</v>
      </c>
      <c r="E64" s="228">
        <v>46112</v>
      </c>
      <c r="F64" s="227">
        <v>4401</v>
      </c>
      <c r="G64" s="227">
        <v>3.84</v>
      </c>
      <c r="H64" s="227">
        <v>15571.2</v>
      </c>
      <c r="I64" s="227">
        <v>4055</v>
      </c>
      <c r="J64" s="227">
        <v>4</v>
      </c>
      <c r="K64" s="57"/>
      <c r="L64" s="57"/>
      <c r="M64" s="57"/>
      <c r="N64" s="57"/>
      <c r="O64" s="57"/>
      <c r="P64" s="57"/>
    </row>
    <row r="65" spans="1:16" x14ac:dyDescent="0.25">
      <c r="A65" s="227" t="s">
        <v>288</v>
      </c>
      <c r="B65" s="227" t="s">
        <v>133</v>
      </c>
      <c r="C65" s="227" t="s">
        <v>421</v>
      </c>
      <c r="D65" s="228">
        <v>46023</v>
      </c>
      <c r="E65" s="228">
        <v>46112</v>
      </c>
      <c r="F65" s="227">
        <v>4306</v>
      </c>
      <c r="G65" s="227">
        <v>4</v>
      </c>
      <c r="H65" s="227">
        <v>15416</v>
      </c>
      <c r="I65" s="227">
        <v>3854</v>
      </c>
      <c r="J65" s="227">
        <v>4</v>
      </c>
      <c r="K65" s="57"/>
      <c r="L65" s="57"/>
      <c r="M65" s="57"/>
      <c r="N65" s="57"/>
      <c r="O65" s="57"/>
      <c r="P65" s="57"/>
    </row>
    <row r="66" spans="1:16" x14ac:dyDescent="0.25">
      <c r="A66" s="227" t="s">
        <v>288</v>
      </c>
      <c r="B66" s="227" t="s">
        <v>134</v>
      </c>
      <c r="C66" s="227" t="s">
        <v>422</v>
      </c>
      <c r="D66" s="228">
        <v>46023</v>
      </c>
      <c r="E66" s="228">
        <v>46112</v>
      </c>
      <c r="F66" s="227">
        <v>4406</v>
      </c>
      <c r="G66" s="227">
        <v>4</v>
      </c>
      <c r="H66" s="227">
        <v>15416</v>
      </c>
      <c r="I66" s="227">
        <v>3854</v>
      </c>
      <c r="J66" s="227">
        <v>4</v>
      </c>
      <c r="K66" s="57"/>
      <c r="L66" s="57"/>
      <c r="M66" s="57"/>
      <c r="N66" s="57"/>
      <c r="O66" s="57"/>
      <c r="P66" s="57"/>
    </row>
    <row r="67" spans="1:16" x14ac:dyDescent="0.25">
      <c r="A67" s="227" t="s">
        <v>288</v>
      </c>
      <c r="B67" s="227" t="s">
        <v>135</v>
      </c>
      <c r="C67" s="227" t="s">
        <v>423</v>
      </c>
      <c r="D67" s="228">
        <v>46023</v>
      </c>
      <c r="E67" s="228">
        <v>46112</v>
      </c>
      <c r="F67" s="227">
        <v>4107</v>
      </c>
      <c r="G67" s="227">
        <v>4</v>
      </c>
      <c r="H67" s="227">
        <v>15416</v>
      </c>
      <c r="I67" s="227">
        <v>3854</v>
      </c>
      <c r="J67" s="227">
        <v>4</v>
      </c>
      <c r="K67" s="57"/>
      <c r="L67" s="57"/>
      <c r="M67" s="57"/>
      <c r="N67" s="57"/>
      <c r="O67" s="57"/>
      <c r="P67" s="57"/>
    </row>
    <row r="68" spans="1:16" x14ac:dyDescent="0.25">
      <c r="A68" s="227" t="s">
        <v>288</v>
      </c>
      <c r="B68" s="227" t="s">
        <v>136</v>
      </c>
      <c r="C68" s="227" t="s">
        <v>424</v>
      </c>
      <c r="D68" s="228">
        <v>46023</v>
      </c>
      <c r="E68" s="228">
        <v>46112</v>
      </c>
      <c r="F68" s="227">
        <v>4283</v>
      </c>
      <c r="G68" s="227">
        <v>4</v>
      </c>
      <c r="H68" s="227">
        <v>16220</v>
      </c>
      <c r="I68" s="227">
        <v>4055</v>
      </c>
      <c r="J68" s="227">
        <v>4</v>
      </c>
      <c r="K68" s="57"/>
      <c r="L68" s="57"/>
      <c r="M68" s="57"/>
      <c r="N68" s="57"/>
      <c r="O68" s="57"/>
      <c r="P68" s="57"/>
    </row>
    <row r="69" spans="1:16" x14ac:dyDescent="0.25">
      <c r="A69" s="227" t="s">
        <v>288</v>
      </c>
      <c r="B69" s="227" t="s">
        <v>137</v>
      </c>
      <c r="C69" s="227" t="s">
        <v>425</v>
      </c>
      <c r="D69" s="228">
        <v>46023</v>
      </c>
      <c r="E69" s="228">
        <v>46112</v>
      </c>
      <c r="F69" s="227">
        <v>4819</v>
      </c>
      <c r="G69" s="227">
        <v>4</v>
      </c>
      <c r="H69" s="227">
        <v>13792</v>
      </c>
      <c r="I69" s="227">
        <v>3448</v>
      </c>
      <c r="J69" s="227">
        <v>4</v>
      </c>
      <c r="K69" s="57"/>
      <c r="L69" s="57"/>
      <c r="M69" s="57"/>
      <c r="N69" s="57"/>
      <c r="O69" s="57"/>
      <c r="P69" s="57"/>
    </row>
    <row r="70" spans="1:16" x14ac:dyDescent="0.25">
      <c r="A70" s="227" t="s">
        <v>288</v>
      </c>
      <c r="B70" s="227" t="s">
        <v>138</v>
      </c>
      <c r="C70" s="227" t="s">
        <v>426</v>
      </c>
      <c r="D70" s="228">
        <v>46023</v>
      </c>
      <c r="E70" s="228">
        <v>46112</v>
      </c>
      <c r="F70" s="227">
        <v>4948</v>
      </c>
      <c r="G70" s="227">
        <v>4</v>
      </c>
      <c r="H70" s="227">
        <v>13784</v>
      </c>
      <c r="I70" s="227">
        <v>3446</v>
      </c>
      <c r="J70" s="227">
        <v>4</v>
      </c>
      <c r="K70" s="57"/>
      <c r="L70" s="57"/>
      <c r="M70" s="57"/>
      <c r="N70" s="57"/>
      <c r="O70" s="57"/>
      <c r="P70" s="57"/>
    </row>
    <row r="71" spans="1:16" x14ac:dyDescent="0.25">
      <c r="A71" s="227" t="s">
        <v>288</v>
      </c>
      <c r="B71" s="227" t="s">
        <v>139</v>
      </c>
      <c r="C71" s="227" t="s">
        <v>427</v>
      </c>
      <c r="D71" s="228">
        <v>46023</v>
      </c>
      <c r="E71" s="228">
        <v>46112</v>
      </c>
      <c r="F71" s="227">
        <v>4390</v>
      </c>
      <c r="G71" s="227">
        <v>3.9</v>
      </c>
      <c r="H71" s="227">
        <v>15814.5</v>
      </c>
      <c r="I71" s="227">
        <v>4055</v>
      </c>
      <c r="J71" s="227">
        <v>2</v>
      </c>
      <c r="K71" s="57"/>
      <c r="L71" s="57"/>
      <c r="M71" s="57"/>
      <c r="N71" s="57"/>
      <c r="O71" s="57"/>
      <c r="P71" s="57"/>
    </row>
    <row r="72" spans="1:16" x14ac:dyDescent="0.25">
      <c r="A72" s="227" t="s">
        <v>288</v>
      </c>
      <c r="B72" s="227" t="s">
        <v>140</v>
      </c>
      <c r="C72" s="227" t="s">
        <v>428</v>
      </c>
      <c r="D72" s="228">
        <v>46023</v>
      </c>
      <c r="E72" s="228">
        <v>46112</v>
      </c>
      <c r="F72" s="227">
        <v>4871</v>
      </c>
      <c r="G72" s="227">
        <v>4</v>
      </c>
      <c r="H72" s="227">
        <v>13784</v>
      </c>
      <c r="I72" s="227">
        <v>3446</v>
      </c>
      <c r="J72" s="227">
        <v>4</v>
      </c>
      <c r="K72" s="57"/>
      <c r="L72" s="57"/>
      <c r="M72" s="57"/>
      <c r="N72" s="57"/>
      <c r="O72" s="57"/>
      <c r="P72" s="57"/>
    </row>
    <row r="73" spans="1:16" x14ac:dyDescent="0.25">
      <c r="A73" s="227" t="s">
        <v>288</v>
      </c>
      <c r="B73" s="227" t="s">
        <v>141</v>
      </c>
      <c r="C73" s="227" t="s">
        <v>429</v>
      </c>
      <c r="D73" s="228">
        <v>46023</v>
      </c>
      <c r="E73" s="228">
        <v>46112</v>
      </c>
      <c r="F73" s="227">
        <v>4657</v>
      </c>
      <c r="G73" s="227">
        <v>4</v>
      </c>
      <c r="H73" s="227">
        <v>14592</v>
      </c>
      <c r="I73" s="227">
        <v>3648</v>
      </c>
      <c r="J73" s="227">
        <v>2</v>
      </c>
      <c r="K73" s="57"/>
      <c r="L73" s="57"/>
      <c r="M73" s="57"/>
      <c r="N73" s="57"/>
      <c r="O73" s="57"/>
      <c r="P73" s="57"/>
    </row>
    <row r="74" spans="1:16" x14ac:dyDescent="0.25">
      <c r="A74" s="227" t="s">
        <v>288</v>
      </c>
      <c r="B74" s="227" t="s">
        <v>228</v>
      </c>
      <c r="C74" s="227" t="s">
        <v>430</v>
      </c>
      <c r="D74" s="228">
        <v>46023</v>
      </c>
      <c r="E74" s="228">
        <v>46112</v>
      </c>
      <c r="F74" s="227">
        <v>4910</v>
      </c>
      <c r="G74" s="227">
        <v>4</v>
      </c>
      <c r="H74" s="227">
        <v>13784</v>
      </c>
      <c r="I74" s="227">
        <v>3446</v>
      </c>
      <c r="J74" s="227">
        <v>4</v>
      </c>
      <c r="K74" s="57"/>
      <c r="L74" s="57"/>
      <c r="M74" s="57"/>
      <c r="N74" s="57"/>
      <c r="O74" s="57"/>
      <c r="P74" s="57"/>
    </row>
    <row r="75" spans="1:16" x14ac:dyDescent="0.25">
      <c r="A75" s="227" t="s">
        <v>288</v>
      </c>
      <c r="B75" s="227" t="s">
        <v>234</v>
      </c>
      <c r="C75" s="227" t="s">
        <v>431</v>
      </c>
      <c r="D75" s="228">
        <v>46023</v>
      </c>
      <c r="E75" s="228">
        <v>46112</v>
      </c>
      <c r="F75" s="227">
        <v>4525</v>
      </c>
      <c r="G75" s="227">
        <v>3.84</v>
      </c>
      <c r="H75" s="227">
        <v>14799.36</v>
      </c>
      <c r="I75" s="227">
        <v>3854</v>
      </c>
      <c r="J75" s="227">
        <v>12</v>
      </c>
      <c r="K75" s="57"/>
      <c r="L75" s="57"/>
      <c r="M75" s="57"/>
      <c r="N75" s="57"/>
      <c r="O75" s="57"/>
      <c r="P75" s="57"/>
    </row>
    <row r="76" spans="1:16" x14ac:dyDescent="0.25">
      <c r="A76" s="227" t="s">
        <v>288</v>
      </c>
      <c r="B76" s="227" t="s">
        <v>236</v>
      </c>
      <c r="C76" s="227" t="s">
        <v>432</v>
      </c>
      <c r="D76" s="228">
        <v>46023</v>
      </c>
      <c r="E76" s="228">
        <v>46112</v>
      </c>
      <c r="F76" s="227">
        <v>4975</v>
      </c>
      <c r="G76" s="227">
        <v>3.84</v>
      </c>
      <c r="H76" s="227">
        <v>14799.36</v>
      </c>
      <c r="I76" s="227">
        <v>3854</v>
      </c>
      <c r="J76" s="227">
        <v>12</v>
      </c>
      <c r="K76" s="57"/>
      <c r="L76" s="57"/>
      <c r="M76" s="57"/>
      <c r="N76" s="57"/>
      <c r="O76" s="57"/>
      <c r="P76" s="57"/>
    </row>
    <row r="77" spans="1:16" x14ac:dyDescent="0.25">
      <c r="A77" s="227" t="s">
        <v>288</v>
      </c>
      <c r="B77" s="227" t="s">
        <v>237</v>
      </c>
      <c r="C77" s="227" t="s">
        <v>433</v>
      </c>
      <c r="D77" s="228">
        <v>46023</v>
      </c>
      <c r="E77" s="228">
        <v>46112</v>
      </c>
      <c r="F77" s="227">
        <v>4080</v>
      </c>
      <c r="G77" s="227">
        <v>4.8</v>
      </c>
      <c r="H77" s="227">
        <v>13977.6</v>
      </c>
      <c r="I77" s="227">
        <v>2912</v>
      </c>
      <c r="J77" s="227">
        <v>12</v>
      </c>
      <c r="K77" s="57"/>
      <c r="L77" s="57"/>
      <c r="M77" s="57"/>
      <c r="N77" s="57"/>
      <c r="O77" s="57"/>
      <c r="P77" s="57"/>
    </row>
    <row r="78" spans="1:16" x14ac:dyDescent="0.25">
      <c r="A78" s="227" t="s">
        <v>288</v>
      </c>
      <c r="B78" s="227" t="s">
        <v>257</v>
      </c>
      <c r="C78" s="227" t="s">
        <v>434</v>
      </c>
      <c r="D78" s="228">
        <v>46023</v>
      </c>
      <c r="E78" s="228">
        <v>46112</v>
      </c>
      <c r="F78" s="227">
        <v>4260</v>
      </c>
      <c r="G78" s="227">
        <v>4.8</v>
      </c>
      <c r="H78" s="227">
        <v>16128</v>
      </c>
      <c r="I78" s="227">
        <v>3360</v>
      </c>
      <c r="J78" s="227">
        <v>5</v>
      </c>
      <c r="K78" s="57"/>
      <c r="L78" s="57"/>
      <c r="M78" s="57"/>
      <c r="N78" s="57"/>
      <c r="O78" s="57"/>
      <c r="P78" s="57"/>
    </row>
    <row r="79" spans="1:16" x14ac:dyDescent="0.25">
      <c r="A79" s="227" t="s">
        <v>288</v>
      </c>
      <c r="B79" s="227" t="s">
        <v>258</v>
      </c>
      <c r="C79" s="227" t="s">
        <v>434</v>
      </c>
      <c r="D79" s="228">
        <v>46023</v>
      </c>
      <c r="E79" s="228">
        <v>46112</v>
      </c>
      <c r="F79" s="227">
        <v>4122</v>
      </c>
      <c r="G79" s="227">
        <v>4.8</v>
      </c>
      <c r="H79" s="227">
        <v>16128</v>
      </c>
      <c r="I79" s="227">
        <v>3360</v>
      </c>
      <c r="J79" s="227">
        <v>5</v>
      </c>
      <c r="K79" s="57"/>
      <c r="L79" s="57"/>
      <c r="M79" s="57"/>
      <c r="N79" s="57"/>
      <c r="O79" s="57"/>
      <c r="P79" s="57"/>
    </row>
    <row r="80" spans="1:16" x14ac:dyDescent="0.25">
      <c r="A80" s="227" t="s">
        <v>288</v>
      </c>
      <c r="B80" s="227" t="s">
        <v>261</v>
      </c>
      <c r="C80" s="227" t="s">
        <v>435</v>
      </c>
      <c r="D80" s="228">
        <v>46023</v>
      </c>
      <c r="E80" s="228">
        <v>46112</v>
      </c>
      <c r="F80" s="227">
        <v>4351</v>
      </c>
      <c r="G80" s="227">
        <v>4.8</v>
      </c>
      <c r="H80" s="227">
        <v>16128</v>
      </c>
      <c r="I80" s="227">
        <v>3360</v>
      </c>
      <c r="J80" s="227">
        <v>5</v>
      </c>
      <c r="K80" s="57"/>
      <c r="L80" s="57"/>
      <c r="M80" s="57"/>
      <c r="N80" s="57"/>
      <c r="O80" s="57"/>
      <c r="P80" s="57"/>
    </row>
    <row r="81" spans="1:16" x14ac:dyDescent="0.25">
      <c r="A81" s="227" t="s">
        <v>288</v>
      </c>
      <c r="B81" s="227" t="s">
        <v>263</v>
      </c>
      <c r="C81" s="227" t="s">
        <v>467</v>
      </c>
      <c r="D81" s="228">
        <v>46023</v>
      </c>
      <c r="E81" s="228">
        <v>46112</v>
      </c>
      <c r="F81" s="227">
        <v>4406</v>
      </c>
      <c r="G81" s="227">
        <v>5</v>
      </c>
      <c r="H81" s="227">
        <v>19270</v>
      </c>
      <c r="I81" s="227">
        <v>3854</v>
      </c>
      <c r="J81" s="227">
        <v>5</v>
      </c>
      <c r="K81" s="57"/>
      <c r="L81" s="57"/>
      <c r="M81" s="57"/>
      <c r="N81" s="57"/>
      <c r="O81" s="57"/>
      <c r="P81" s="57"/>
    </row>
    <row r="82" spans="1:16" x14ac:dyDescent="0.25">
      <c r="A82" s="227" t="s">
        <v>288</v>
      </c>
      <c r="B82" s="227" t="s">
        <v>264</v>
      </c>
      <c r="C82" s="227" t="s">
        <v>302</v>
      </c>
      <c r="D82" s="228">
        <v>46023</v>
      </c>
      <c r="E82" s="228">
        <v>46112</v>
      </c>
      <c r="F82" s="227">
        <v>4191</v>
      </c>
      <c r="G82" s="227">
        <v>5</v>
      </c>
      <c r="H82" s="227">
        <v>17230</v>
      </c>
      <c r="I82" s="227">
        <v>3446</v>
      </c>
      <c r="J82" s="227">
        <v>5</v>
      </c>
      <c r="K82" s="57"/>
      <c r="L82" s="57"/>
      <c r="M82" s="57"/>
      <c r="N82" s="57"/>
      <c r="O82" s="57"/>
      <c r="P82" s="57"/>
    </row>
    <row r="83" spans="1:16" x14ac:dyDescent="0.25">
      <c r="A83" s="227" t="s">
        <v>288</v>
      </c>
      <c r="B83" s="227" t="s">
        <v>265</v>
      </c>
      <c r="C83" s="227" t="s">
        <v>436</v>
      </c>
      <c r="D83" s="228">
        <v>46023</v>
      </c>
      <c r="E83" s="228">
        <v>46112</v>
      </c>
      <c r="F83" s="227">
        <v>4900</v>
      </c>
      <c r="G83" s="227">
        <v>4</v>
      </c>
      <c r="H83" s="227">
        <v>13784</v>
      </c>
      <c r="I83" s="227">
        <v>3446</v>
      </c>
      <c r="J83" s="227">
        <v>4</v>
      </c>
      <c r="K83" s="57"/>
      <c r="L83" s="57"/>
      <c r="M83" s="57"/>
      <c r="N83" s="57"/>
      <c r="O83" s="57"/>
      <c r="P83" s="57"/>
    </row>
    <row r="84" spans="1:16" x14ac:dyDescent="0.25">
      <c r="A84" s="227" t="s">
        <v>288</v>
      </c>
      <c r="B84" s="227" t="s">
        <v>437</v>
      </c>
      <c r="C84" s="227" t="s">
        <v>438</v>
      </c>
      <c r="D84" s="228">
        <v>46023</v>
      </c>
      <c r="E84" s="228">
        <v>46112</v>
      </c>
      <c r="F84" s="227">
        <v>4400</v>
      </c>
      <c r="G84" s="227">
        <v>4</v>
      </c>
      <c r="H84" s="227">
        <v>15416</v>
      </c>
      <c r="I84" s="227">
        <v>3854</v>
      </c>
      <c r="J84" s="227">
        <v>4</v>
      </c>
      <c r="K84" s="57"/>
      <c r="L84" s="57"/>
      <c r="M84" s="57"/>
      <c r="N84" s="57"/>
      <c r="O84" s="57"/>
      <c r="P84" s="57"/>
    </row>
    <row r="85" spans="1:16" x14ac:dyDescent="0.25">
      <c r="A85" s="227" t="s">
        <v>288</v>
      </c>
      <c r="B85" s="227" t="s">
        <v>468</v>
      </c>
      <c r="C85" s="227" t="s">
        <v>469</v>
      </c>
      <c r="D85" s="228">
        <v>46023</v>
      </c>
      <c r="E85" s="228">
        <v>46112</v>
      </c>
      <c r="F85" s="227">
        <v>4650</v>
      </c>
      <c r="G85" s="227">
        <v>6.72</v>
      </c>
      <c r="H85" s="227">
        <v>15839.04</v>
      </c>
      <c r="I85" s="227">
        <v>2357</v>
      </c>
      <c r="J85" s="227">
        <v>14</v>
      </c>
      <c r="K85" s="57"/>
      <c r="L85" s="57"/>
      <c r="M85" s="57"/>
      <c r="N85" s="57"/>
      <c r="O85" s="57"/>
      <c r="P85" s="57"/>
    </row>
    <row r="86" spans="1:16" x14ac:dyDescent="0.25">
      <c r="A86" s="227" t="s">
        <v>288</v>
      </c>
      <c r="B86" s="227" t="s">
        <v>470</v>
      </c>
      <c r="C86" s="227" t="s">
        <v>471</v>
      </c>
      <c r="D86" s="228">
        <v>46023</v>
      </c>
      <c r="E86" s="228">
        <v>46112</v>
      </c>
      <c r="F86" s="227">
        <v>4885</v>
      </c>
      <c r="G86" s="227">
        <v>10</v>
      </c>
      <c r="H86" s="227">
        <v>19400</v>
      </c>
      <c r="I86" s="227">
        <v>1940</v>
      </c>
      <c r="J86" s="227">
        <v>10</v>
      </c>
      <c r="K86" s="57"/>
      <c r="L86" s="57"/>
      <c r="M86" s="57"/>
      <c r="N86" s="57"/>
      <c r="O86" s="57"/>
      <c r="P86" s="57"/>
    </row>
    <row r="87" spans="1:16" x14ac:dyDescent="0.25">
      <c r="A87" s="227" t="s">
        <v>291</v>
      </c>
      <c r="B87" s="227" t="s">
        <v>160</v>
      </c>
      <c r="C87" s="227" t="s">
        <v>439</v>
      </c>
      <c r="D87" s="228">
        <v>46023</v>
      </c>
      <c r="E87" s="228">
        <v>46112</v>
      </c>
      <c r="F87" s="227">
        <v>2320</v>
      </c>
      <c r="G87" s="227">
        <v>5.76</v>
      </c>
      <c r="H87" s="227">
        <v>18432</v>
      </c>
      <c r="I87" s="227">
        <v>3200</v>
      </c>
      <c r="J87" s="227">
        <v>24</v>
      </c>
      <c r="K87" s="57"/>
      <c r="L87" s="57"/>
      <c r="M87" s="57"/>
      <c r="N87" s="57"/>
      <c r="O87" s="57"/>
      <c r="P87" s="57"/>
    </row>
    <row r="88" spans="1:16" x14ac:dyDescent="0.25">
      <c r="A88" s="227" t="s">
        <v>291</v>
      </c>
      <c r="B88" s="227" t="s">
        <v>161</v>
      </c>
      <c r="C88" s="227" t="s">
        <v>440</v>
      </c>
      <c r="D88" s="228">
        <v>46023</v>
      </c>
      <c r="E88" s="228">
        <v>46112</v>
      </c>
      <c r="F88" s="227">
        <v>3820</v>
      </c>
      <c r="G88" s="227">
        <v>4.32</v>
      </c>
      <c r="H88" s="227">
        <v>13824</v>
      </c>
      <c r="I88" s="227">
        <v>3200</v>
      </c>
      <c r="J88" s="227">
        <v>24</v>
      </c>
      <c r="K88" s="57"/>
      <c r="L88" s="57"/>
      <c r="M88" s="57"/>
      <c r="N88" s="57"/>
      <c r="O88" s="57"/>
      <c r="P88" s="57"/>
    </row>
    <row r="89" spans="1:16" x14ac:dyDescent="0.25">
      <c r="A89" s="227" t="s">
        <v>291</v>
      </c>
      <c r="B89" s="227" t="s">
        <v>162</v>
      </c>
      <c r="C89" s="227" t="s">
        <v>441</v>
      </c>
      <c r="D89" s="228">
        <v>46023</v>
      </c>
      <c r="E89" s="228">
        <v>46112</v>
      </c>
      <c r="F89" s="227">
        <v>2370</v>
      </c>
      <c r="G89" s="227">
        <v>5.3760000000000003</v>
      </c>
      <c r="H89" s="227">
        <v>17203.2</v>
      </c>
      <c r="I89" s="227">
        <v>3200</v>
      </c>
      <c r="J89" s="227">
        <v>24</v>
      </c>
      <c r="K89" s="57"/>
      <c r="L89" s="57"/>
      <c r="M89" s="57"/>
      <c r="N89" s="57"/>
      <c r="O89" s="57"/>
      <c r="P89" s="57"/>
    </row>
    <row r="90" spans="1:16" x14ac:dyDescent="0.25">
      <c r="A90" s="227" t="s">
        <v>291</v>
      </c>
      <c r="B90" s="227" t="s">
        <v>212</v>
      </c>
      <c r="C90" s="227" t="s">
        <v>442</v>
      </c>
      <c r="D90" s="228">
        <v>46023</v>
      </c>
      <c r="E90" s="228">
        <v>46112</v>
      </c>
      <c r="F90" s="227">
        <v>3820</v>
      </c>
      <c r="G90" s="227">
        <v>4.32</v>
      </c>
      <c r="H90" s="227">
        <v>13824</v>
      </c>
      <c r="I90" s="227">
        <v>3200</v>
      </c>
      <c r="J90" s="227">
        <v>24</v>
      </c>
      <c r="K90" s="57"/>
      <c r="L90" s="57"/>
      <c r="M90" s="57"/>
      <c r="N90" s="57"/>
      <c r="O90" s="57"/>
      <c r="P90" s="57"/>
    </row>
    <row r="91" spans="1:16" x14ac:dyDescent="0.25">
      <c r="A91" s="227" t="s">
        <v>291</v>
      </c>
      <c r="B91" s="227" t="s">
        <v>266</v>
      </c>
      <c r="C91" s="227" t="s">
        <v>443</v>
      </c>
      <c r="D91" s="228">
        <v>46023</v>
      </c>
      <c r="E91" s="228">
        <v>46112</v>
      </c>
      <c r="F91" s="227">
        <v>2320</v>
      </c>
      <c r="G91" s="227">
        <v>7.68</v>
      </c>
      <c r="H91" s="227">
        <v>21504</v>
      </c>
      <c r="I91" s="227">
        <v>2800</v>
      </c>
      <c r="J91" s="227">
        <v>24</v>
      </c>
      <c r="K91" s="57"/>
      <c r="L91" s="57"/>
      <c r="M91" s="57"/>
      <c r="N91" s="57"/>
      <c r="O91" s="57"/>
      <c r="P91" s="57"/>
    </row>
    <row r="92" spans="1:16" x14ac:dyDescent="0.25">
      <c r="A92" s="227" t="s">
        <v>291</v>
      </c>
      <c r="B92" s="227" t="s">
        <v>268</v>
      </c>
      <c r="C92" s="227" t="s">
        <v>444</v>
      </c>
      <c r="D92" s="228">
        <v>46023</v>
      </c>
      <c r="E92" s="228">
        <v>46112</v>
      </c>
      <c r="F92" s="227">
        <v>2820</v>
      </c>
      <c r="G92" s="227">
        <v>6</v>
      </c>
      <c r="H92" s="227">
        <v>19200</v>
      </c>
      <c r="I92" s="227">
        <v>3200</v>
      </c>
      <c r="J92" s="227">
        <v>24</v>
      </c>
      <c r="K92" s="57"/>
      <c r="L92" s="57"/>
      <c r="M92" s="57"/>
      <c r="N92" s="57"/>
      <c r="O92" s="57"/>
      <c r="P92" s="57"/>
    </row>
    <row r="93" spans="1:16" x14ac:dyDescent="0.25">
      <c r="A93" s="227" t="s">
        <v>292</v>
      </c>
      <c r="B93" s="227" t="s">
        <v>105</v>
      </c>
      <c r="C93" s="227" t="s">
        <v>299</v>
      </c>
      <c r="D93" s="228">
        <v>46023</v>
      </c>
      <c r="E93" s="228">
        <v>46112</v>
      </c>
      <c r="F93" s="227">
        <v>4792</v>
      </c>
      <c r="G93" s="227">
        <v>10</v>
      </c>
      <c r="H93" s="227">
        <v>15680</v>
      </c>
      <c r="I93" s="227">
        <v>1568</v>
      </c>
      <c r="J93" s="227">
        <v>10</v>
      </c>
      <c r="K93" s="57"/>
      <c r="L93" s="57"/>
      <c r="M93" s="57"/>
      <c r="N93" s="57"/>
      <c r="O93" s="57"/>
      <c r="P93" s="57"/>
    </row>
    <row r="94" spans="1:16" x14ac:dyDescent="0.25">
      <c r="A94" s="227" t="s">
        <v>292</v>
      </c>
      <c r="B94" s="227" t="s">
        <v>149</v>
      </c>
      <c r="C94" s="227" t="s">
        <v>375</v>
      </c>
      <c r="D94" s="228">
        <v>46023</v>
      </c>
      <c r="E94" s="228">
        <v>46112</v>
      </c>
      <c r="F94" s="227">
        <v>4800</v>
      </c>
      <c r="G94" s="227">
        <v>10</v>
      </c>
      <c r="H94" s="227">
        <v>21560</v>
      </c>
      <c r="I94" s="227">
        <v>2156</v>
      </c>
      <c r="J94" s="227">
        <v>10</v>
      </c>
      <c r="K94" s="57"/>
      <c r="L94" s="57"/>
      <c r="M94" s="57"/>
      <c r="N94" s="57"/>
      <c r="O94" s="57"/>
      <c r="P94" s="57"/>
    </row>
    <row r="95" spans="1:16" x14ac:dyDescent="0.25">
      <c r="A95" s="227" t="s">
        <v>292</v>
      </c>
      <c r="B95" s="227" t="s">
        <v>150</v>
      </c>
      <c r="C95" s="227" t="s">
        <v>376</v>
      </c>
      <c r="D95" s="228">
        <v>46023</v>
      </c>
      <c r="E95" s="228">
        <v>46112</v>
      </c>
      <c r="F95" s="227">
        <v>4900</v>
      </c>
      <c r="G95" s="227">
        <v>10</v>
      </c>
      <c r="H95" s="227">
        <v>21560</v>
      </c>
      <c r="I95" s="227">
        <v>2156</v>
      </c>
      <c r="J95" s="227">
        <v>10</v>
      </c>
      <c r="K95" s="57"/>
      <c r="L95" s="57"/>
      <c r="M95" s="57"/>
      <c r="N95" s="57"/>
      <c r="O95" s="57"/>
      <c r="P95" s="57"/>
    </row>
    <row r="96" spans="1:16" x14ac:dyDescent="0.25">
      <c r="A96" s="227" t="s">
        <v>292</v>
      </c>
      <c r="B96" s="227" t="s">
        <v>152</v>
      </c>
      <c r="C96" s="227" t="s">
        <v>360</v>
      </c>
      <c r="D96" s="228">
        <v>46023</v>
      </c>
      <c r="E96" s="228">
        <v>46112</v>
      </c>
      <c r="F96" s="227">
        <v>4050</v>
      </c>
      <c r="G96" s="227">
        <v>9.9</v>
      </c>
      <c r="H96" s="227">
        <v>16236</v>
      </c>
      <c r="I96" s="227">
        <v>1640</v>
      </c>
      <c r="J96" s="227">
        <v>18</v>
      </c>
      <c r="K96" s="57"/>
      <c r="L96" s="57"/>
      <c r="M96" s="57"/>
      <c r="N96" s="57"/>
      <c r="O96" s="57"/>
      <c r="P96" s="57"/>
    </row>
    <row r="97" spans="1:16" x14ac:dyDescent="0.25">
      <c r="A97" s="227" t="s">
        <v>292</v>
      </c>
      <c r="B97" s="227" t="s">
        <v>181</v>
      </c>
      <c r="C97" s="227" t="s">
        <v>327</v>
      </c>
      <c r="D97" s="228">
        <v>46023</v>
      </c>
      <c r="E97" s="228">
        <v>46112</v>
      </c>
      <c r="F97" s="227">
        <v>5150</v>
      </c>
      <c r="G97" s="227">
        <v>11.7</v>
      </c>
      <c r="H97" s="227">
        <v>13560.3</v>
      </c>
      <c r="I97" s="227">
        <v>1159</v>
      </c>
      <c r="J97" s="227">
        <v>26</v>
      </c>
      <c r="K97" s="57"/>
      <c r="L97" s="57"/>
      <c r="M97" s="57"/>
      <c r="N97" s="57"/>
      <c r="O97" s="57"/>
      <c r="P97" s="57"/>
    </row>
    <row r="98" spans="1:16" x14ac:dyDescent="0.25">
      <c r="A98" s="227" t="s">
        <v>292</v>
      </c>
      <c r="B98" s="227" t="s">
        <v>182</v>
      </c>
      <c r="C98" s="227" t="s">
        <v>328</v>
      </c>
      <c r="D98" s="228">
        <v>46023</v>
      </c>
      <c r="E98" s="228">
        <v>46112</v>
      </c>
      <c r="F98" s="227">
        <v>5000</v>
      </c>
      <c r="G98" s="227">
        <v>11.7</v>
      </c>
      <c r="H98" s="227">
        <v>13560.3</v>
      </c>
      <c r="I98" s="227">
        <v>1159</v>
      </c>
      <c r="J98" s="227">
        <v>26</v>
      </c>
      <c r="K98" s="57"/>
      <c r="L98" s="57"/>
      <c r="M98" s="57"/>
      <c r="N98" s="57"/>
      <c r="O98" s="57"/>
      <c r="P98" s="57"/>
    </row>
    <row r="99" spans="1:16" x14ac:dyDescent="0.25">
      <c r="A99" s="227" t="s">
        <v>292</v>
      </c>
      <c r="B99" s="227" t="s">
        <v>183</v>
      </c>
      <c r="C99" s="227" t="s">
        <v>329</v>
      </c>
      <c r="D99" s="228">
        <v>46023</v>
      </c>
      <c r="E99" s="228">
        <v>46112</v>
      </c>
      <c r="F99" s="227">
        <v>5000</v>
      </c>
      <c r="G99" s="227">
        <v>11.7</v>
      </c>
      <c r="H99" s="227">
        <v>13560.3</v>
      </c>
      <c r="I99" s="227">
        <v>1159</v>
      </c>
      <c r="J99" s="227">
        <v>26</v>
      </c>
      <c r="K99" s="57"/>
      <c r="L99" s="57"/>
      <c r="M99" s="57"/>
      <c r="N99" s="57"/>
      <c r="O99" s="57"/>
      <c r="P99" s="57"/>
    </row>
    <row r="100" spans="1:16" x14ac:dyDescent="0.25">
      <c r="A100" s="227" t="s">
        <v>292</v>
      </c>
      <c r="B100" s="227" t="s">
        <v>185</v>
      </c>
      <c r="C100" s="227" t="s">
        <v>361</v>
      </c>
      <c r="D100" s="228">
        <v>46023</v>
      </c>
      <c r="E100" s="228">
        <v>46112</v>
      </c>
      <c r="F100" s="227">
        <v>4050</v>
      </c>
      <c r="G100" s="227">
        <v>9.9</v>
      </c>
      <c r="H100" s="227">
        <v>16236</v>
      </c>
      <c r="I100" s="227">
        <v>1640</v>
      </c>
      <c r="J100" s="227">
        <v>18</v>
      </c>
      <c r="K100" s="57"/>
      <c r="L100" s="57"/>
      <c r="M100" s="57"/>
      <c r="N100" s="57"/>
      <c r="O100" s="57"/>
      <c r="P100" s="57"/>
    </row>
    <row r="101" spans="1:16" x14ac:dyDescent="0.25">
      <c r="A101" s="227" t="s">
        <v>292</v>
      </c>
      <c r="B101" s="227" t="s">
        <v>186</v>
      </c>
      <c r="C101" s="227" t="s">
        <v>362</v>
      </c>
      <c r="D101" s="228">
        <v>46023</v>
      </c>
      <c r="E101" s="228">
        <v>46112</v>
      </c>
      <c r="F101" s="227">
        <v>4050</v>
      </c>
      <c r="G101" s="227">
        <v>9.9</v>
      </c>
      <c r="H101" s="227">
        <v>16236</v>
      </c>
      <c r="I101" s="227">
        <v>1640</v>
      </c>
      <c r="J101" s="227">
        <v>18</v>
      </c>
      <c r="K101" s="57"/>
      <c r="L101" s="57"/>
      <c r="M101" s="57"/>
      <c r="N101" s="57"/>
      <c r="O101" s="57"/>
      <c r="P101" s="57"/>
    </row>
    <row r="102" spans="1:16" x14ac:dyDescent="0.25">
      <c r="A102" s="227" t="s">
        <v>292</v>
      </c>
      <c r="B102" s="227" t="s">
        <v>187</v>
      </c>
      <c r="C102" s="227" t="s">
        <v>363</v>
      </c>
      <c r="D102" s="228">
        <v>46023</v>
      </c>
      <c r="E102" s="228">
        <v>46112</v>
      </c>
      <c r="F102" s="227">
        <v>4050</v>
      </c>
      <c r="G102" s="227">
        <v>9.9</v>
      </c>
      <c r="H102" s="227">
        <v>16236</v>
      </c>
      <c r="I102" s="227">
        <v>1640</v>
      </c>
      <c r="J102" s="227">
        <v>18</v>
      </c>
      <c r="K102" s="57"/>
      <c r="L102" s="57"/>
      <c r="M102" s="57"/>
      <c r="N102" s="57"/>
      <c r="O102" s="57"/>
      <c r="P102" s="57"/>
    </row>
    <row r="103" spans="1:16" x14ac:dyDescent="0.25">
      <c r="A103" s="227" t="s">
        <v>292</v>
      </c>
      <c r="B103" s="227" t="s">
        <v>190</v>
      </c>
      <c r="C103" s="227" t="s">
        <v>364</v>
      </c>
      <c r="D103" s="228">
        <v>46023</v>
      </c>
      <c r="E103" s="228">
        <v>46112</v>
      </c>
      <c r="F103" s="227">
        <v>4300</v>
      </c>
      <c r="G103" s="227">
        <v>9.9</v>
      </c>
      <c r="H103" s="227">
        <v>14295.6</v>
      </c>
      <c r="I103" s="227">
        <v>1444</v>
      </c>
      <c r="J103" s="227">
        <v>22</v>
      </c>
      <c r="K103" s="57"/>
      <c r="L103" s="57"/>
      <c r="M103" s="57"/>
      <c r="N103" s="57"/>
      <c r="O103" s="57"/>
      <c r="P103" s="57"/>
    </row>
    <row r="104" spans="1:16" x14ac:dyDescent="0.25">
      <c r="A104" s="227" t="s">
        <v>292</v>
      </c>
      <c r="B104" s="227" t="s">
        <v>191</v>
      </c>
      <c r="C104" s="227" t="s">
        <v>365</v>
      </c>
      <c r="D104" s="228">
        <v>46023</v>
      </c>
      <c r="E104" s="228">
        <v>46112</v>
      </c>
      <c r="F104" s="227">
        <v>4200</v>
      </c>
      <c r="G104" s="227">
        <v>9.9</v>
      </c>
      <c r="H104" s="227">
        <v>14295.6</v>
      </c>
      <c r="I104" s="227">
        <v>1444</v>
      </c>
      <c r="J104" s="227">
        <v>22</v>
      </c>
      <c r="K104" s="57"/>
      <c r="L104" s="57"/>
      <c r="M104" s="57"/>
      <c r="N104" s="57"/>
      <c r="O104" s="57"/>
      <c r="P104" s="57"/>
    </row>
    <row r="105" spans="1:16" x14ac:dyDescent="0.25">
      <c r="A105" s="227" t="s">
        <v>292</v>
      </c>
      <c r="B105" s="227" t="s">
        <v>194</v>
      </c>
      <c r="C105" s="227" t="s">
        <v>366</v>
      </c>
      <c r="D105" s="228">
        <v>46023</v>
      </c>
      <c r="E105" s="228">
        <v>46112</v>
      </c>
      <c r="F105" s="227">
        <v>4600</v>
      </c>
      <c r="G105" s="227">
        <v>7.2</v>
      </c>
      <c r="H105" s="227">
        <v>14112</v>
      </c>
      <c r="I105" s="227">
        <v>1960</v>
      </c>
      <c r="J105" s="227">
        <v>24</v>
      </c>
      <c r="K105" s="57"/>
      <c r="L105" s="57"/>
      <c r="M105" s="57"/>
      <c r="N105" s="57"/>
      <c r="O105" s="57"/>
      <c r="P105" s="57"/>
    </row>
    <row r="106" spans="1:16" x14ac:dyDescent="0.25">
      <c r="A106" s="227" t="s">
        <v>292</v>
      </c>
      <c r="B106" s="227" t="s">
        <v>195</v>
      </c>
      <c r="C106" s="227" t="s">
        <v>367</v>
      </c>
      <c r="D106" s="228">
        <v>46023</v>
      </c>
      <c r="E106" s="228">
        <v>46112</v>
      </c>
      <c r="F106" s="227">
        <v>4350</v>
      </c>
      <c r="G106" s="227">
        <v>6.72</v>
      </c>
      <c r="H106" s="227">
        <v>15583.68</v>
      </c>
      <c r="I106" s="227">
        <v>2319</v>
      </c>
      <c r="J106" s="227">
        <v>14</v>
      </c>
      <c r="K106" s="57"/>
      <c r="L106" s="57"/>
      <c r="M106" s="57"/>
      <c r="N106" s="57"/>
      <c r="O106" s="57"/>
      <c r="P106" s="57"/>
    </row>
    <row r="107" spans="1:16" x14ac:dyDescent="0.25">
      <c r="A107" s="227" t="s">
        <v>292</v>
      </c>
      <c r="B107" s="227" t="s">
        <v>196</v>
      </c>
      <c r="C107" s="227" t="s">
        <v>532</v>
      </c>
      <c r="D107" s="228">
        <v>46023</v>
      </c>
      <c r="E107" s="228">
        <v>46112</v>
      </c>
      <c r="F107" s="227">
        <v>4350</v>
      </c>
      <c r="G107" s="227">
        <v>6.72</v>
      </c>
      <c r="H107" s="227">
        <v>15583.68</v>
      </c>
      <c r="I107" s="227">
        <v>2319</v>
      </c>
      <c r="J107" s="227">
        <v>14</v>
      </c>
      <c r="K107" s="57"/>
      <c r="L107" s="57"/>
      <c r="M107" s="57"/>
      <c r="N107" s="57"/>
      <c r="O107" s="57"/>
      <c r="P107" s="57"/>
    </row>
    <row r="108" spans="1:16" x14ac:dyDescent="0.25">
      <c r="A108" s="227" t="s">
        <v>292</v>
      </c>
      <c r="B108" s="227" t="s">
        <v>197</v>
      </c>
      <c r="C108" s="227" t="s">
        <v>330</v>
      </c>
      <c r="D108" s="228">
        <v>46023</v>
      </c>
      <c r="E108" s="228">
        <v>46112</v>
      </c>
      <c r="F108" s="227">
        <v>5550</v>
      </c>
      <c r="G108" s="227">
        <v>11.7</v>
      </c>
      <c r="H108" s="227">
        <v>13560.3</v>
      </c>
      <c r="I108" s="227">
        <v>1159</v>
      </c>
      <c r="J108" s="227">
        <v>26</v>
      </c>
      <c r="K108" s="57"/>
      <c r="L108" s="57"/>
      <c r="M108" s="57"/>
      <c r="N108" s="57"/>
      <c r="O108" s="57"/>
      <c r="P108" s="57"/>
    </row>
    <row r="109" spans="1:16" x14ac:dyDescent="0.25">
      <c r="A109" s="227" t="s">
        <v>292</v>
      </c>
      <c r="B109" s="227" t="s">
        <v>198</v>
      </c>
      <c r="C109" s="227" t="s">
        <v>331</v>
      </c>
      <c r="D109" s="228">
        <v>46023</v>
      </c>
      <c r="E109" s="228">
        <v>46112</v>
      </c>
      <c r="F109" s="227">
        <v>5700</v>
      </c>
      <c r="G109" s="227">
        <v>11.7</v>
      </c>
      <c r="H109" s="227">
        <v>13560.3</v>
      </c>
      <c r="I109" s="227">
        <v>1159</v>
      </c>
      <c r="J109" s="227">
        <v>26</v>
      </c>
      <c r="K109" s="57"/>
      <c r="L109" s="57"/>
      <c r="M109" s="57"/>
      <c r="N109" s="57"/>
      <c r="O109" s="57"/>
      <c r="P109" s="57"/>
    </row>
    <row r="110" spans="1:16" x14ac:dyDescent="0.25">
      <c r="A110" s="227" t="s">
        <v>292</v>
      </c>
      <c r="B110" s="227" t="s">
        <v>199</v>
      </c>
      <c r="C110" s="227" t="s">
        <v>332</v>
      </c>
      <c r="D110" s="228">
        <v>46023</v>
      </c>
      <c r="E110" s="228">
        <v>46112</v>
      </c>
      <c r="F110" s="227">
        <v>5700</v>
      </c>
      <c r="G110" s="227">
        <v>11.7</v>
      </c>
      <c r="H110" s="227">
        <v>13560.3</v>
      </c>
      <c r="I110" s="227">
        <v>1159</v>
      </c>
      <c r="J110" s="227">
        <v>26</v>
      </c>
      <c r="K110" s="57"/>
      <c r="L110" s="57"/>
      <c r="M110" s="57"/>
      <c r="N110" s="57"/>
      <c r="O110" s="57"/>
      <c r="P110" s="57"/>
    </row>
    <row r="111" spans="1:16" x14ac:dyDescent="0.25">
      <c r="A111" s="227" t="s">
        <v>292</v>
      </c>
      <c r="B111" s="227" t="s">
        <v>200</v>
      </c>
      <c r="C111" s="227" t="s">
        <v>333</v>
      </c>
      <c r="D111" s="228">
        <v>46023</v>
      </c>
      <c r="E111" s="228">
        <v>46112</v>
      </c>
      <c r="F111" s="227">
        <v>6250</v>
      </c>
      <c r="G111" s="227">
        <v>11.7</v>
      </c>
      <c r="H111" s="227">
        <v>13560.3</v>
      </c>
      <c r="I111" s="227">
        <v>1159</v>
      </c>
      <c r="J111" s="227">
        <v>26</v>
      </c>
      <c r="K111" s="57"/>
      <c r="L111" s="57"/>
      <c r="M111" s="57"/>
      <c r="N111" s="57"/>
      <c r="O111" s="57"/>
      <c r="P111" s="57"/>
    </row>
    <row r="112" spans="1:16" x14ac:dyDescent="0.25">
      <c r="A112" s="227" t="s">
        <v>292</v>
      </c>
      <c r="B112" s="227" t="s">
        <v>202</v>
      </c>
      <c r="C112" s="227" t="s">
        <v>368</v>
      </c>
      <c r="D112" s="228">
        <v>46023</v>
      </c>
      <c r="E112" s="228">
        <v>46112</v>
      </c>
      <c r="F112" s="227">
        <v>3825</v>
      </c>
      <c r="G112" s="227">
        <v>9.9</v>
      </c>
      <c r="H112" s="227">
        <v>18374.400000000001</v>
      </c>
      <c r="I112" s="227">
        <v>1856</v>
      </c>
      <c r="J112" s="227">
        <v>18</v>
      </c>
      <c r="K112" s="57"/>
      <c r="L112" s="57"/>
      <c r="M112" s="57"/>
      <c r="N112" s="57"/>
      <c r="O112" s="57"/>
      <c r="P112" s="57"/>
    </row>
    <row r="113" spans="1:16" x14ac:dyDescent="0.25">
      <c r="A113" s="227" t="s">
        <v>292</v>
      </c>
      <c r="B113" s="227" t="s">
        <v>203</v>
      </c>
      <c r="C113" s="227" t="s">
        <v>369</v>
      </c>
      <c r="D113" s="228">
        <v>46023</v>
      </c>
      <c r="E113" s="228">
        <v>46112</v>
      </c>
      <c r="F113" s="227">
        <v>4350</v>
      </c>
      <c r="G113" s="227">
        <v>6.72</v>
      </c>
      <c r="H113" s="227">
        <v>15583.68</v>
      </c>
      <c r="I113" s="227">
        <v>2319</v>
      </c>
      <c r="J113" s="227">
        <v>14</v>
      </c>
      <c r="K113" s="57"/>
      <c r="L113" s="57"/>
      <c r="M113" s="57"/>
      <c r="N113" s="57"/>
      <c r="O113" s="57"/>
      <c r="P113" s="57"/>
    </row>
    <row r="114" spans="1:16" x14ac:dyDescent="0.25">
      <c r="A114" s="227" t="s">
        <v>292</v>
      </c>
      <c r="B114" s="227" t="s">
        <v>204</v>
      </c>
      <c r="C114" s="227" t="s">
        <v>357</v>
      </c>
      <c r="D114" s="228">
        <v>46023</v>
      </c>
      <c r="E114" s="228">
        <v>46112</v>
      </c>
      <c r="F114" s="227">
        <v>4350</v>
      </c>
      <c r="G114" s="227">
        <v>7</v>
      </c>
      <c r="H114" s="227">
        <v>16240</v>
      </c>
      <c r="I114" s="227">
        <v>2320</v>
      </c>
      <c r="J114" s="227">
        <v>14</v>
      </c>
      <c r="K114" s="57"/>
      <c r="L114" s="57"/>
      <c r="M114" s="57"/>
      <c r="N114" s="57"/>
      <c r="O114" s="57"/>
      <c r="P114" s="57"/>
    </row>
    <row r="115" spans="1:16" x14ac:dyDescent="0.25">
      <c r="A115" s="227" t="s">
        <v>292</v>
      </c>
      <c r="B115" s="227" t="s">
        <v>117</v>
      </c>
      <c r="C115" s="227" t="s">
        <v>404</v>
      </c>
      <c r="D115" s="228">
        <v>46023</v>
      </c>
      <c r="E115" s="228">
        <v>46112</v>
      </c>
      <c r="F115" s="227">
        <v>3850</v>
      </c>
      <c r="G115" s="227">
        <v>10</v>
      </c>
      <c r="H115" s="227">
        <v>21560</v>
      </c>
      <c r="I115" s="227">
        <v>2156</v>
      </c>
      <c r="J115" s="227">
        <v>5</v>
      </c>
      <c r="K115" s="57"/>
      <c r="L115" s="57"/>
      <c r="M115" s="57"/>
      <c r="N115" s="57"/>
      <c r="O115" s="57"/>
      <c r="P115" s="57"/>
    </row>
    <row r="116" spans="1:16" x14ac:dyDescent="0.25">
      <c r="A116" s="227" t="s">
        <v>292</v>
      </c>
      <c r="B116" s="227" t="s">
        <v>120</v>
      </c>
      <c r="C116" s="227" t="s">
        <v>407</v>
      </c>
      <c r="D116" s="228">
        <v>46023</v>
      </c>
      <c r="E116" s="228">
        <v>46112</v>
      </c>
      <c r="F116" s="227">
        <v>4000</v>
      </c>
      <c r="G116" s="227">
        <v>9.6</v>
      </c>
      <c r="H116" s="227">
        <v>19968</v>
      </c>
      <c r="I116" s="227">
        <v>2080</v>
      </c>
      <c r="J116" s="227">
        <v>4</v>
      </c>
      <c r="K116" s="57"/>
      <c r="L116" s="57"/>
      <c r="M116" s="57"/>
      <c r="N116" s="57"/>
      <c r="O116" s="57"/>
      <c r="P116" s="57"/>
    </row>
    <row r="117" spans="1:16" x14ac:dyDescent="0.25">
      <c r="A117" s="227" t="s">
        <v>292</v>
      </c>
      <c r="B117" s="227" t="s">
        <v>214</v>
      </c>
      <c r="C117" s="227" t="s">
        <v>472</v>
      </c>
      <c r="D117" s="228">
        <v>46023</v>
      </c>
      <c r="E117" s="228">
        <v>46112</v>
      </c>
      <c r="F117" s="227">
        <v>6500</v>
      </c>
      <c r="G117" s="227">
        <v>6</v>
      </c>
      <c r="H117" s="227">
        <v>14580</v>
      </c>
      <c r="I117" s="227">
        <v>2430</v>
      </c>
      <c r="J117" s="227">
        <v>3</v>
      </c>
      <c r="K117" s="57"/>
      <c r="L117" s="57"/>
      <c r="M117" s="57"/>
      <c r="N117" s="57"/>
      <c r="O117" s="57"/>
      <c r="P117" s="57"/>
    </row>
    <row r="118" spans="1:16" x14ac:dyDescent="0.25">
      <c r="A118" s="227" t="s">
        <v>292</v>
      </c>
      <c r="B118" s="227" t="s">
        <v>121</v>
      </c>
      <c r="C118" s="227" t="s">
        <v>358</v>
      </c>
      <c r="D118" s="228">
        <v>46023</v>
      </c>
      <c r="E118" s="228">
        <v>46112</v>
      </c>
      <c r="F118" s="227">
        <v>7000</v>
      </c>
      <c r="G118" s="227">
        <v>6</v>
      </c>
      <c r="H118" s="227">
        <v>14580</v>
      </c>
      <c r="I118" s="227">
        <v>2430</v>
      </c>
      <c r="J118" s="227">
        <v>3</v>
      </c>
      <c r="K118" s="57"/>
      <c r="L118" s="57"/>
      <c r="M118" s="57"/>
      <c r="N118" s="57"/>
      <c r="O118" s="57"/>
      <c r="P118" s="57"/>
    </row>
    <row r="119" spans="1:16" x14ac:dyDescent="0.25">
      <c r="A119" s="227" t="s">
        <v>292</v>
      </c>
      <c r="B119" s="227" t="s">
        <v>123</v>
      </c>
      <c r="C119" s="227" t="s">
        <v>300</v>
      </c>
      <c r="D119" s="228">
        <v>46023</v>
      </c>
      <c r="E119" s="228">
        <v>46112</v>
      </c>
      <c r="F119" s="227">
        <v>3850</v>
      </c>
      <c r="G119" s="227">
        <v>10</v>
      </c>
      <c r="H119" s="227">
        <v>20160</v>
      </c>
      <c r="I119" s="227">
        <v>2016</v>
      </c>
      <c r="J119" s="227">
        <v>5</v>
      </c>
      <c r="K119" s="57"/>
      <c r="L119" s="57"/>
      <c r="M119" s="57"/>
      <c r="N119" s="57"/>
      <c r="O119" s="57"/>
      <c r="P119" s="57"/>
    </row>
    <row r="120" spans="1:16" x14ac:dyDescent="0.25">
      <c r="A120" s="227" t="s">
        <v>292</v>
      </c>
      <c r="B120" s="227" t="s">
        <v>126</v>
      </c>
      <c r="C120" s="227" t="s">
        <v>359</v>
      </c>
      <c r="D120" s="228">
        <v>46023</v>
      </c>
      <c r="E120" s="228">
        <v>46112</v>
      </c>
      <c r="F120" s="227">
        <v>4050</v>
      </c>
      <c r="G120" s="227">
        <v>9.9</v>
      </c>
      <c r="H120" s="227">
        <v>18216</v>
      </c>
      <c r="I120" s="227">
        <v>1840</v>
      </c>
      <c r="J120" s="227">
        <v>5</v>
      </c>
      <c r="K120" s="57"/>
      <c r="L120" s="57"/>
      <c r="M120" s="57"/>
      <c r="N120" s="57"/>
      <c r="O120" s="57"/>
      <c r="P120" s="57"/>
    </row>
    <row r="121" spans="1:16" x14ac:dyDescent="0.25">
      <c r="A121" s="227" t="s">
        <v>292</v>
      </c>
      <c r="B121" s="227" t="s">
        <v>220</v>
      </c>
      <c r="C121" s="227" t="s">
        <v>473</v>
      </c>
      <c r="D121" s="228">
        <v>46023</v>
      </c>
      <c r="E121" s="228">
        <v>46112</v>
      </c>
      <c r="F121" s="227">
        <v>4250</v>
      </c>
      <c r="G121" s="227">
        <v>9.6</v>
      </c>
      <c r="H121" s="227">
        <v>20006.400000000001</v>
      </c>
      <c r="I121" s="227">
        <v>2084</v>
      </c>
      <c r="J121" s="227">
        <v>4</v>
      </c>
      <c r="K121" s="57"/>
      <c r="L121" s="57"/>
      <c r="M121" s="57"/>
      <c r="N121" s="57"/>
      <c r="O121" s="57"/>
      <c r="P121" s="57"/>
    </row>
    <row r="122" spans="1:16" x14ac:dyDescent="0.25">
      <c r="A122" s="227" t="s">
        <v>292</v>
      </c>
      <c r="B122" s="227" t="s">
        <v>127</v>
      </c>
      <c r="C122" s="227" t="s">
        <v>301</v>
      </c>
      <c r="D122" s="228">
        <v>46023</v>
      </c>
      <c r="E122" s="228">
        <v>46112</v>
      </c>
      <c r="F122" s="227">
        <v>3782</v>
      </c>
      <c r="G122" s="227">
        <v>9.6</v>
      </c>
      <c r="H122" s="227">
        <v>20697.599999999999</v>
      </c>
      <c r="I122" s="227">
        <v>2156</v>
      </c>
      <c r="J122" s="227">
        <v>4</v>
      </c>
      <c r="K122" s="57"/>
      <c r="L122" s="57"/>
      <c r="M122" s="57"/>
      <c r="N122" s="57"/>
      <c r="O122" s="57"/>
      <c r="P122" s="57"/>
    </row>
    <row r="123" spans="1:16" x14ac:dyDescent="0.25">
      <c r="A123" s="227" t="s">
        <v>292</v>
      </c>
      <c r="B123" s="227" t="s">
        <v>222</v>
      </c>
      <c r="C123" s="227" t="s">
        <v>356</v>
      </c>
      <c r="D123" s="228">
        <v>46023</v>
      </c>
      <c r="E123" s="228">
        <v>46112</v>
      </c>
      <c r="F123" s="227">
        <v>4500</v>
      </c>
      <c r="G123" s="227">
        <v>3</v>
      </c>
      <c r="H123" s="227">
        <v>16200</v>
      </c>
      <c r="I123" s="227">
        <v>5400</v>
      </c>
      <c r="J123" s="227">
        <v>3</v>
      </c>
      <c r="K123" s="57"/>
      <c r="L123" s="57"/>
      <c r="M123" s="57"/>
      <c r="N123" s="57"/>
      <c r="O123" s="57"/>
      <c r="P123" s="57"/>
    </row>
    <row r="124" spans="1:16" x14ac:dyDescent="0.25">
      <c r="A124" s="227" t="s">
        <v>292</v>
      </c>
      <c r="B124" s="227" t="s">
        <v>128</v>
      </c>
      <c r="C124" s="227" t="s">
        <v>474</v>
      </c>
      <c r="D124" s="228">
        <v>46023</v>
      </c>
      <c r="E124" s="228">
        <v>46112</v>
      </c>
      <c r="F124" s="227">
        <v>4000</v>
      </c>
      <c r="G124" s="227">
        <v>10</v>
      </c>
      <c r="H124" s="227">
        <v>19270</v>
      </c>
      <c r="I124" s="227">
        <v>1927</v>
      </c>
      <c r="J124" s="227">
        <v>10</v>
      </c>
      <c r="K124" s="57"/>
      <c r="L124" s="57"/>
      <c r="M124" s="57"/>
      <c r="N124" s="57"/>
      <c r="O124" s="57"/>
      <c r="P124" s="57"/>
    </row>
    <row r="125" spans="1:16" x14ac:dyDescent="0.25">
      <c r="A125" s="227" t="s">
        <v>292</v>
      </c>
      <c r="B125" s="227" t="s">
        <v>129</v>
      </c>
      <c r="C125" s="227" t="s">
        <v>303</v>
      </c>
      <c r="D125" s="228">
        <v>46023</v>
      </c>
      <c r="E125" s="228">
        <v>46112</v>
      </c>
      <c r="F125" s="227">
        <v>4250</v>
      </c>
      <c r="G125" s="227">
        <v>10</v>
      </c>
      <c r="H125" s="227">
        <v>18300</v>
      </c>
      <c r="I125" s="227">
        <v>1830</v>
      </c>
      <c r="J125" s="227">
        <v>10</v>
      </c>
      <c r="K125" s="57"/>
      <c r="L125" s="57"/>
      <c r="M125" s="57"/>
      <c r="N125" s="57"/>
      <c r="O125" s="57"/>
      <c r="P125" s="57"/>
    </row>
    <row r="126" spans="1:16" x14ac:dyDescent="0.25">
      <c r="A126" s="227" t="s">
        <v>292</v>
      </c>
      <c r="B126" s="227" t="s">
        <v>226</v>
      </c>
      <c r="C126" s="227" t="s">
        <v>313</v>
      </c>
      <c r="D126" s="228">
        <v>46036</v>
      </c>
      <c r="E126" s="228">
        <v>46112</v>
      </c>
      <c r="F126" s="227">
        <v>3750</v>
      </c>
      <c r="G126" s="227">
        <v>10</v>
      </c>
      <c r="H126" s="227">
        <v>18200</v>
      </c>
      <c r="I126" s="227">
        <v>1820</v>
      </c>
      <c r="J126" s="227">
        <v>5</v>
      </c>
      <c r="K126" s="57"/>
      <c r="L126" s="57"/>
      <c r="M126" s="57"/>
      <c r="N126" s="57"/>
      <c r="O126" s="57"/>
      <c r="P126" s="57"/>
    </row>
    <row r="127" spans="1:16" x14ac:dyDescent="0.25">
      <c r="A127" s="227" t="s">
        <v>292</v>
      </c>
      <c r="B127" s="227" t="s">
        <v>134</v>
      </c>
      <c r="C127" s="227" t="s">
        <v>422</v>
      </c>
      <c r="D127" s="228">
        <v>46023</v>
      </c>
      <c r="E127" s="228">
        <v>46112</v>
      </c>
      <c r="F127" s="227">
        <v>4100</v>
      </c>
      <c r="G127" s="227">
        <v>4</v>
      </c>
      <c r="H127" s="227">
        <v>15416</v>
      </c>
      <c r="I127" s="227">
        <v>3854</v>
      </c>
      <c r="J127" s="227">
        <v>4</v>
      </c>
      <c r="K127" s="57"/>
      <c r="L127" s="57"/>
      <c r="M127" s="57"/>
      <c r="N127" s="57"/>
      <c r="O127" s="57"/>
      <c r="P127" s="57"/>
    </row>
    <row r="128" spans="1:16" x14ac:dyDescent="0.25">
      <c r="A128" s="227" t="s">
        <v>292</v>
      </c>
      <c r="B128" s="227" t="s">
        <v>135</v>
      </c>
      <c r="C128" s="227" t="s">
        <v>423</v>
      </c>
      <c r="D128" s="228">
        <v>46023</v>
      </c>
      <c r="E128" s="228">
        <v>46112</v>
      </c>
      <c r="F128" s="227">
        <v>4195</v>
      </c>
      <c r="G128" s="227">
        <v>4</v>
      </c>
      <c r="H128" s="227">
        <v>15416</v>
      </c>
      <c r="I128" s="227">
        <v>3854</v>
      </c>
      <c r="J128" s="227">
        <v>4</v>
      </c>
      <c r="K128" s="57"/>
      <c r="L128" s="57"/>
      <c r="M128" s="57"/>
      <c r="N128" s="57"/>
      <c r="O128" s="57"/>
      <c r="P128" s="57"/>
    </row>
    <row r="129" spans="1:16" x14ac:dyDescent="0.25">
      <c r="A129" s="227" t="s">
        <v>292</v>
      </c>
      <c r="B129" s="227" t="s">
        <v>139</v>
      </c>
      <c r="C129" s="227" t="s">
        <v>427</v>
      </c>
      <c r="D129" s="228">
        <v>46023</v>
      </c>
      <c r="E129" s="228">
        <v>46112</v>
      </c>
      <c r="F129" s="227">
        <v>4200</v>
      </c>
      <c r="G129" s="227">
        <v>3.9</v>
      </c>
      <c r="H129" s="227">
        <v>15814.5</v>
      </c>
      <c r="I129" s="227">
        <v>4055</v>
      </c>
      <c r="J129" s="227">
        <v>2</v>
      </c>
      <c r="K129" s="57"/>
      <c r="L129" s="57"/>
      <c r="M129" s="57"/>
      <c r="N129" s="57"/>
      <c r="O129" s="57"/>
      <c r="P129" s="57"/>
    </row>
    <row r="130" spans="1:16" x14ac:dyDescent="0.25">
      <c r="A130" s="227" t="s">
        <v>292</v>
      </c>
      <c r="B130" s="227" t="s">
        <v>251</v>
      </c>
      <c r="C130" s="227" t="s">
        <v>475</v>
      </c>
      <c r="D130" s="228">
        <v>46023</v>
      </c>
      <c r="E130" s="228">
        <v>46112</v>
      </c>
      <c r="F130" s="227">
        <v>4250</v>
      </c>
      <c r="G130" s="227">
        <v>10.5</v>
      </c>
      <c r="H130" s="227">
        <v>17062.5</v>
      </c>
      <c r="I130" s="227">
        <v>1625</v>
      </c>
      <c r="J130" s="227">
        <v>10</v>
      </c>
      <c r="K130" s="57"/>
      <c r="L130" s="57"/>
      <c r="M130" s="57"/>
      <c r="N130" s="57"/>
      <c r="O130" s="57"/>
      <c r="P130" s="57"/>
    </row>
    <row r="131" spans="1:16" x14ac:dyDescent="0.25">
      <c r="A131" s="227" t="s">
        <v>292</v>
      </c>
      <c r="B131" s="227" t="s">
        <v>253</v>
      </c>
      <c r="C131" s="227" t="s">
        <v>304</v>
      </c>
      <c r="D131" s="228">
        <v>46023</v>
      </c>
      <c r="E131" s="228">
        <v>46112</v>
      </c>
      <c r="F131" s="227">
        <v>4200</v>
      </c>
      <c r="G131" s="227">
        <v>10.5</v>
      </c>
      <c r="H131" s="227">
        <v>17062.5</v>
      </c>
      <c r="I131" s="227">
        <v>1625</v>
      </c>
      <c r="J131" s="227">
        <v>10</v>
      </c>
      <c r="K131" s="57"/>
      <c r="L131" s="57"/>
      <c r="M131" s="57"/>
      <c r="N131" s="57"/>
      <c r="O131" s="57"/>
      <c r="P131" s="57"/>
    </row>
    <row r="132" spans="1:16" x14ac:dyDescent="0.25">
      <c r="A132" s="227" t="s">
        <v>292</v>
      </c>
      <c r="B132" s="227" t="s">
        <v>254</v>
      </c>
      <c r="C132" s="227" t="s">
        <v>305</v>
      </c>
      <c r="D132" s="228">
        <v>46023</v>
      </c>
      <c r="E132" s="228">
        <v>46112</v>
      </c>
      <c r="F132" s="227">
        <v>4600</v>
      </c>
      <c r="G132" s="227">
        <v>10</v>
      </c>
      <c r="H132" s="227">
        <v>19400</v>
      </c>
      <c r="I132" s="227">
        <v>1940</v>
      </c>
      <c r="J132" s="227">
        <v>10</v>
      </c>
      <c r="K132" s="57"/>
      <c r="L132" s="57"/>
      <c r="M132" s="57"/>
      <c r="N132" s="57"/>
      <c r="O132" s="57"/>
      <c r="P132" s="57"/>
    </row>
    <row r="133" spans="1:16" x14ac:dyDescent="0.25">
      <c r="A133" s="227" t="s">
        <v>292</v>
      </c>
      <c r="B133" s="227" t="s">
        <v>255</v>
      </c>
      <c r="C133" s="227" t="s">
        <v>306</v>
      </c>
      <c r="D133" s="228">
        <v>46023</v>
      </c>
      <c r="E133" s="228">
        <v>46112</v>
      </c>
      <c r="F133" s="227">
        <v>4250</v>
      </c>
      <c r="G133" s="227">
        <v>10</v>
      </c>
      <c r="H133" s="227">
        <v>17920</v>
      </c>
      <c r="I133" s="227">
        <v>1792</v>
      </c>
      <c r="J133" s="227">
        <v>10</v>
      </c>
      <c r="K133" s="57"/>
      <c r="L133" s="57"/>
      <c r="M133" s="57"/>
      <c r="N133" s="57"/>
      <c r="O133" s="57"/>
      <c r="P133" s="57"/>
    </row>
    <row r="134" spans="1:16" x14ac:dyDescent="0.25">
      <c r="A134" s="227" t="s">
        <v>292</v>
      </c>
      <c r="B134" s="227" t="s">
        <v>260</v>
      </c>
      <c r="C134" s="227" t="s">
        <v>435</v>
      </c>
      <c r="D134" s="228">
        <v>46023</v>
      </c>
      <c r="E134" s="228">
        <v>46112</v>
      </c>
      <c r="F134" s="227">
        <v>4400</v>
      </c>
      <c r="G134" s="227">
        <v>4.8</v>
      </c>
      <c r="H134" s="227">
        <v>16128</v>
      </c>
      <c r="I134" s="227">
        <v>3360</v>
      </c>
      <c r="J134" s="227">
        <v>5</v>
      </c>
      <c r="K134" s="57"/>
      <c r="L134" s="57"/>
      <c r="M134" s="57"/>
      <c r="N134" s="57"/>
      <c r="O134" s="57"/>
      <c r="P134" s="57"/>
    </row>
    <row r="135" spans="1:16" x14ac:dyDescent="0.25">
      <c r="A135" s="227" t="s">
        <v>292</v>
      </c>
      <c r="B135" s="227" t="s">
        <v>263</v>
      </c>
      <c r="C135" s="227" t="s">
        <v>467</v>
      </c>
      <c r="D135" s="228">
        <v>46023</v>
      </c>
      <c r="E135" s="228">
        <v>46112</v>
      </c>
      <c r="F135" s="227">
        <v>4350</v>
      </c>
      <c r="G135" s="227">
        <v>5</v>
      </c>
      <c r="H135" s="227">
        <v>19270</v>
      </c>
      <c r="I135" s="227">
        <v>3854</v>
      </c>
      <c r="J135" s="227">
        <v>5</v>
      </c>
      <c r="K135" s="57"/>
      <c r="L135" s="57"/>
      <c r="M135" s="57"/>
      <c r="N135" s="57"/>
      <c r="O135" s="57"/>
      <c r="P135" s="57"/>
    </row>
    <row r="136" spans="1:16" x14ac:dyDescent="0.25">
      <c r="A136" s="227" t="s">
        <v>292</v>
      </c>
      <c r="B136" s="227" t="s">
        <v>533</v>
      </c>
      <c r="C136" s="227" t="s">
        <v>534</v>
      </c>
      <c r="D136" s="228">
        <v>46023</v>
      </c>
      <c r="E136" s="228">
        <v>46112</v>
      </c>
      <c r="F136" s="227">
        <v>4550</v>
      </c>
      <c r="G136" s="227">
        <v>4.8</v>
      </c>
      <c r="H136" s="227">
        <v>11692.8</v>
      </c>
      <c r="I136" s="227">
        <v>2436</v>
      </c>
      <c r="J136" s="227">
        <v>12</v>
      </c>
      <c r="K136" s="57"/>
      <c r="L136" s="57"/>
      <c r="M136" s="57"/>
      <c r="N136" s="57"/>
      <c r="O136" s="57"/>
      <c r="P136" s="57"/>
    </row>
    <row r="137" spans="1:16" x14ac:dyDescent="0.25">
      <c r="A137" s="227" t="s">
        <v>292</v>
      </c>
      <c r="B137" s="227" t="s">
        <v>219</v>
      </c>
      <c r="C137" s="227" t="s">
        <v>349</v>
      </c>
      <c r="D137" s="228">
        <v>46023</v>
      </c>
      <c r="E137" s="228">
        <v>46112</v>
      </c>
      <c r="F137" s="227">
        <v>4400</v>
      </c>
      <c r="G137" s="227">
        <v>9.6</v>
      </c>
      <c r="H137" s="227">
        <v>18768</v>
      </c>
      <c r="I137" s="227">
        <v>1955</v>
      </c>
      <c r="J137" s="227">
        <v>4</v>
      </c>
      <c r="K137" s="57"/>
      <c r="L137" s="57"/>
      <c r="M137" s="57"/>
      <c r="N137" s="57"/>
      <c r="O137" s="57"/>
      <c r="P137" s="57"/>
    </row>
    <row r="138" spans="1:16" x14ac:dyDescent="0.25">
      <c r="A138" s="227" t="s">
        <v>292</v>
      </c>
      <c r="B138" s="227" t="s">
        <v>476</v>
      </c>
      <c r="C138" s="227" t="s">
        <v>477</v>
      </c>
      <c r="D138" s="228">
        <v>45992</v>
      </c>
      <c r="E138" s="228">
        <v>46387</v>
      </c>
      <c r="F138" s="227">
        <v>4000</v>
      </c>
      <c r="G138" s="227">
        <v>10</v>
      </c>
      <c r="H138" s="227">
        <v>0</v>
      </c>
      <c r="I138" s="227">
        <v>0</v>
      </c>
      <c r="J138" s="227">
        <v>10</v>
      </c>
      <c r="K138" s="57"/>
      <c r="L138" s="57"/>
      <c r="M138" s="57"/>
      <c r="N138" s="57"/>
      <c r="O138" s="57"/>
      <c r="P138" s="57"/>
    </row>
    <row r="139" spans="1:16" x14ac:dyDescent="0.25">
      <c r="A139" s="227" t="s">
        <v>292</v>
      </c>
      <c r="B139" s="227" t="s">
        <v>478</v>
      </c>
      <c r="C139" s="227" t="s">
        <v>479</v>
      </c>
      <c r="D139" s="228">
        <v>46023</v>
      </c>
      <c r="E139" s="228">
        <v>46112</v>
      </c>
      <c r="F139" s="227">
        <v>4600</v>
      </c>
      <c r="G139" s="227">
        <v>10.4</v>
      </c>
      <c r="H139" s="227">
        <v>16681.599999999999</v>
      </c>
      <c r="I139" s="227">
        <v>1604</v>
      </c>
      <c r="J139" s="227">
        <v>20</v>
      </c>
      <c r="K139" s="57"/>
      <c r="L139" s="57"/>
      <c r="M139" s="57"/>
      <c r="N139" s="57"/>
      <c r="O139" s="57"/>
      <c r="P139" s="57"/>
    </row>
    <row r="140" spans="1:16" x14ac:dyDescent="0.25">
      <c r="A140" s="227" t="s">
        <v>292</v>
      </c>
      <c r="B140" s="227" t="s">
        <v>480</v>
      </c>
      <c r="C140" s="227" t="s">
        <v>535</v>
      </c>
      <c r="D140" s="228">
        <v>46023</v>
      </c>
      <c r="E140" s="228">
        <v>46387</v>
      </c>
      <c r="F140" s="227">
        <v>4525</v>
      </c>
      <c r="G140" s="227">
        <v>10.4</v>
      </c>
      <c r="H140" s="227">
        <v>0</v>
      </c>
      <c r="I140" s="227">
        <v>0</v>
      </c>
      <c r="J140" s="227">
        <v>20</v>
      </c>
      <c r="K140" s="57"/>
      <c r="L140" s="57"/>
      <c r="M140" s="57"/>
      <c r="N140" s="57"/>
      <c r="O140" s="57"/>
      <c r="P140" s="57"/>
    </row>
    <row r="141" spans="1:16" x14ac:dyDescent="0.25">
      <c r="A141" s="227" t="s">
        <v>292</v>
      </c>
      <c r="B141" s="227" t="s">
        <v>481</v>
      </c>
      <c r="C141" s="227" t="s">
        <v>536</v>
      </c>
      <c r="D141" s="228">
        <v>46023</v>
      </c>
      <c r="E141" s="228">
        <v>46387</v>
      </c>
      <c r="F141" s="227">
        <v>4600</v>
      </c>
      <c r="G141" s="227">
        <v>10.4</v>
      </c>
      <c r="H141" s="227">
        <v>16681.599999999999</v>
      </c>
      <c r="I141" s="227">
        <v>1604</v>
      </c>
      <c r="J141" s="227">
        <v>20</v>
      </c>
      <c r="K141" s="57"/>
      <c r="L141" s="57"/>
      <c r="M141" s="57"/>
      <c r="N141" s="57"/>
      <c r="O141" s="57"/>
      <c r="P141" s="57"/>
    </row>
    <row r="142" spans="1:16" x14ac:dyDescent="0.25">
      <c r="A142" s="227" t="s">
        <v>292</v>
      </c>
      <c r="B142" s="227" t="s">
        <v>482</v>
      </c>
      <c r="C142" s="227" t="s">
        <v>483</v>
      </c>
      <c r="D142" s="228">
        <v>46023</v>
      </c>
      <c r="E142" s="228">
        <v>46112</v>
      </c>
      <c r="F142" s="227">
        <v>2900</v>
      </c>
      <c r="G142" s="227">
        <v>9.9</v>
      </c>
      <c r="H142" s="227">
        <v>19404</v>
      </c>
      <c r="I142" s="227">
        <v>1960</v>
      </c>
      <c r="J142" s="227">
        <v>18</v>
      </c>
      <c r="K142" s="57"/>
      <c r="L142" s="57"/>
      <c r="M142" s="57"/>
      <c r="N142" s="57"/>
      <c r="O142" s="57"/>
      <c r="P142" s="57"/>
    </row>
    <row r="143" spans="1:16" x14ac:dyDescent="0.25">
      <c r="A143" s="227" t="s">
        <v>295</v>
      </c>
      <c r="B143" s="227" t="s">
        <v>104</v>
      </c>
      <c r="C143" s="227" t="s">
        <v>445</v>
      </c>
      <c r="D143" s="228">
        <v>46023</v>
      </c>
      <c r="E143" s="228">
        <v>46112</v>
      </c>
      <c r="F143" s="227">
        <v>4100</v>
      </c>
      <c r="G143" s="227">
        <v>10</v>
      </c>
      <c r="H143" s="227">
        <v>21620</v>
      </c>
      <c r="I143" s="227">
        <v>2162</v>
      </c>
      <c r="J143" s="227">
        <v>4</v>
      </c>
      <c r="K143" s="57"/>
      <c r="L143" s="57"/>
      <c r="M143" s="57"/>
      <c r="N143" s="57"/>
      <c r="O143" s="57"/>
      <c r="P143" s="57"/>
    </row>
    <row r="144" spans="1:16" x14ac:dyDescent="0.25">
      <c r="A144" s="227" t="s">
        <v>295</v>
      </c>
      <c r="B144" s="227" t="s">
        <v>112</v>
      </c>
      <c r="C144" s="227" t="s">
        <v>401</v>
      </c>
      <c r="D144" s="228">
        <v>46023</v>
      </c>
      <c r="E144" s="228">
        <v>46112</v>
      </c>
      <c r="F144" s="227">
        <v>4250</v>
      </c>
      <c r="G144" s="227">
        <v>9.6</v>
      </c>
      <c r="H144" s="227">
        <v>20697.599999999999</v>
      </c>
      <c r="I144" s="227">
        <v>2156</v>
      </c>
      <c r="J144" s="227">
        <v>10</v>
      </c>
      <c r="K144" s="57"/>
      <c r="L144" s="57"/>
      <c r="M144" s="57"/>
      <c r="N144" s="57"/>
      <c r="O144" s="57"/>
      <c r="P144" s="57"/>
    </row>
    <row r="145" spans="1:16" x14ac:dyDescent="0.25">
      <c r="A145" s="227" t="s">
        <v>295</v>
      </c>
      <c r="B145" s="227" t="s">
        <v>113</v>
      </c>
      <c r="C145" s="227" t="s">
        <v>402</v>
      </c>
      <c r="D145" s="228">
        <v>46023</v>
      </c>
      <c r="E145" s="228">
        <v>46112</v>
      </c>
      <c r="F145" s="227">
        <v>4300</v>
      </c>
      <c r="G145" s="227">
        <v>10</v>
      </c>
      <c r="H145" s="227">
        <v>19270</v>
      </c>
      <c r="I145" s="227">
        <v>1927</v>
      </c>
      <c r="J145" s="227">
        <v>10</v>
      </c>
      <c r="K145" s="57"/>
      <c r="L145" s="57"/>
      <c r="M145" s="57"/>
      <c r="N145" s="57"/>
      <c r="O145" s="57"/>
      <c r="P145" s="57"/>
    </row>
    <row r="146" spans="1:16" x14ac:dyDescent="0.25">
      <c r="A146" s="227" t="s">
        <v>295</v>
      </c>
      <c r="B146" s="227" t="s">
        <v>114</v>
      </c>
      <c r="C146" s="227" t="s">
        <v>403</v>
      </c>
      <c r="D146" s="228">
        <v>46023</v>
      </c>
      <c r="E146" s="228">
        <v>46112</v>
      </c>
      <c r="F146" s="227">
        <v>4250</v>
      </c>
      <c r="G146" s="227">
        <v>10</v>
      </c>
      <c r="H146" s="227">
        <v>19270</v>
      </c>
      <c r="I146" s="227">
        <v>1927</v>
      </c>
      <c r="J146" s="227">
        <v>10</v>
      </c>
      <c r="K146" s="57"/>
      <c r="L146" s="57"/>
      <c r="M146" s="57"/>
      <c r="N146" s="57"/>
      <c r="O146" s="57"/>
      <c r="P146" s="57"/>
    </row>
    <row r="147" spans="1:16" x14ac:dyDescent="0.25">
      <c r="A147" s="227" t="s">
        <v>295</v>
      </c>
      <c r="B147" s="227" t="s">
        <v>279</v>
      </c>
      <c r="C147" s="227" t="s">
        <v>455</v>
      </c>
      <c r="D147" s="228">
        <v>46023</v>
      </c>
      <c r="E147" s="228">
        <v>46112</v>
      </c>
      <c r="F147" s="227">
        <v>7500</v>
      </c>
      <c r="G147" s="227">
        <v>475.2</v>
      </c>
      <c r="H147" s="227">
        <v>19008</v>
      </c>
      <c r="I147" s="227">
        <v>40</v>
      </c>
      <c r="J147" s="227">
        <v>1980</v>
      </c>
      <c r="K147" s="57"/>
      <c r="L147" s="57"/>
      <c r="M147" s="57"/>
      <c r="N147" s="57"/>
      <c r="O147" s="57"/>
      <c r="P147" s="57"/>
    </row>
    <row r="148" spans="1:16" x14ac:dyDescent="0.25">
      <c r="A148" s="227" t="s">
        <v>295</v>
      </c>
      <c r="B148" s="227" t="s">
        <v>107</v>
      </c>
      <c r="C148" s="227" t="s">
        <v>414</v>
      </c>
      <c r="D148" s="228">
        <v>46023</v>
      </c>
      <c r="E148" s="228">
        <v>46112</v>
      </c>
      <c r="F148" s="227">
        <v>4350</v>
      </c>
      <c r="G148" s="227">
        <v>10</v>
      </c>
      <c r="H148" s="227">
        <v>19270</v>
      </c>
      <c r="I148" s="227">
        <v>1927</v>
      </c>
      <c r="J148" s="227">
        <v>10</v>
      </c>
      <c r="K148" s="57"/>
      <c r="L148" s="57"/>
      <c r="M148" s="57"/>
      <c r="N148" s="57"/>
      <c r="O148" s="57"/>
      <c r="P148" s="57"/>
    </row>
    <row r="149" spans="1:16" x14ac:dyDescent="0.25">
      <c r="A149" s="227" t="s">
        <v>295</v>
      </c>
      <c r="B149" s="227" t="s">
        <v>129</v>
      </c>
      <c r="C149" s="227" t="s">
        <v>303</v>
      </c>
      <c r="D149" s="228">
        <v>46023</v>
      </c>
      <c r="E149" s="228">
        <v>46112</v>
      </c>
      <c r="F149" s="227">
        <v>4200</v>
      </c>
      <c r="G149" s="227">
        <v>10</v>
      </c>
      <c r="H149" s="227">
        <v>18300</v>
      </c>
      <c r="I149" s="227">
        <v>1830</v>
      </c>
      <c r="J149" s="227">
        <v>10</v>
      </c>
      <c r="K149" s="57"/>
      <c r="L149" s="57"/>
      <c r="M149" s="57"/>
      <c r="N149" s="57"/>
      <c r="O149" s="57"/>
      <c r="P149" s="57"/>
    </row>
    <row r="150" spans="1:16" x14ac:dyDescent="0.25">
      <c r="A150" s="227" t="s">
        <v>295</v>
      </c>
      <c r="B150" s="227" t="s">
        <v>238</v>
      </c>
      <c r="C150" s="227" t="s">
        <v>446</v>
      </c>
      <c r="D150" s="228">
        <v>46023</v>
      </c>
      <c r="E150" s="228">
        <v>46112</v>
      </c>
      <c r="F150" s="227">
        <v>4400</v>
      </c>
      <c r="G150" s="227">
        <v>3.84</v>
      </c>
      <c r="H150" s="227">
        <v>12042.24</v>
      </c>
      <c r="I150" s="227">
        <v>3136</v>
      </c>
      <c r="J150" s="227">
        <v>12</v>
      </c>
      <c r="K150" s="57"/>
      <c r="L150" s="57"/>
      <c r="M150" s="57"/>
      <c r="N150" s="57"/>
      <c r="O150" s="57"/>
      <c r="P150" s="57"/>
    </row>
    <row r="151" spans="1:16" x14ac:dyDescent="0.25">
      <c r="A151" s="227" t="s">
        <v>295</v>
      </c>
      <c r="B151" s="227" t="s">
        <v>239</v>
      </c>
      <c r="C151" s="227" t="s">
        <v>447</v>
      </c>
      <c r="D151" s="228">
        <v>46023</v>
      </c>
      <c r="E151" s="228">
        <v>46112</v>
      </c>
      <c r="F151" s="227">
        <v>4400</v>
      </c>
      <c r="G151" s="227">
        <v>3.84</v>
      </c>
      <c r="H151" s="227">
        <v>12042.24</v>
      </c>
      <c r="I151" s="227">
        <v>3136</v>
      </c>
      <c r="J151" s="227">
        <v>12</v>
      </c>
      <c r="K151" s="57"/>
      <c r="L151" s="57"/>
      <c r="M151" s="57"/>
      <c r="N151" s="57"/>
      <c r="O151" s="57"/>
      <c r="P151" s="57"/>
    </row>
    <row r="152" spans="1:16" x14ac:dyDescent="0.25">
      <c r="A152" s="227" t="s">
        <v>295</v>
      </c>
      <c r="B152" s="227" t="s">
        <v>242</v>
      </c>
      <c r="C152" s="227" t="s">
        <v>448</v>
      </c>
      <c r="D152" s="228">
        <v>46023</v>
      </c>
      <c r="E152" s="228">
        <v>46112</v>
      </c>
      <c r="F152" s="227">
        <v>4500</v>
      </c>
      <c r="G152" s="227">
        <v>3.84</v>
      </c>
      <c r="H152" s="227">
        <v>13655.04</v>
      </c>
      <c r="I152" s="227">
        <v>3556</v>
      </c>
      <c r="J152" s="227">
        <v>12</v>
      </c>
      <c r="K152" s="57"/>
      <c r="L152" s="57"/>
      <c r="M152" s="57"/>
      <c r="N152" s="57"/>
      <c r="O152" s="57"/>
      <c r="P152" s="57"/>
    </row>
    <row r="153" spans="1:16" x14ac:dyDescent="0.25">
      <c r="A153" s="227" t="s">
        <v>295</v>
      </c>
      <c r="B153" s="227" t="s">
        <v>142</v>
      </c>
      <c r="C153" s="227" t="s">
        <v>449</v>
      </c>
      <c r="D153" s="228">
        <v>46023</v>
      </c>
      <c r="E153" s="228">
        <v>46112</v>
      </c>
      <c r="F153" s="227">
        <v>7980</v>
      </c>
      <c r="G153" s="227">
        <v>4</v>
      </c>
      <c r="H153" s="227">
        <v>13440</v>
      </c>
      <c r="I153" s="227">
        <v>3360</v>
      </c>
      <c r="J153" s="227">
        <v>4</v>
      </c>
      <c r="K153" s="57"/>
      <c r="L153" s="57"/>
      <c r="M153" s="57"/>
      <c r="N153" s="57"/>
      <c r="O153" s="57"/>
      <c r="P153" s="57"/>
    </row>
    <row r="154" spans="1:16" x14ac:dyDescent="0.25">
      <c r="A154" s="227" t="s">
        <v>295</v>
      </c>
      <c r="B154" s="227" t="s">
        <v>143</v>
      </c>
      <c r="C154" s="227" t="s">
        <v>450</v>
      </c>
      <c r="D154" s="228">
        <v>46023</v>
      </c>
      <c r="E154" s="228">
        <v>46112</v>
      </c>
      <c r="F154" s="227">
        <v>6680</v>
      </c>
      <c r="G154" s="227">
        <v>3.84</v>
      </c>
      <c r="H154" s="227">
        <v>12902.4</v>
      </c>
      <c r="I154" s="227">
        <v>3360</v>
      </c>
      <c r="J154" s="227">
        <v>4</v>
      </c>
      <c r="K154" s="57"/>
      <c r="L154" s="57"/>
      <c r="M154" s="57"/>
      <c r="N154" s="57"/>
      <c r="O154" s="57"/>
      <c r="P154" s="57"/>
    </row>
    <row r="155" spans="1:16" x14ac:dyDescent="0.25">
      <c r="A155" s="227" t="s">
        <v>295</v>
      </c>
      <c r="B155" s="227" t="s">
        <v>144</v>
      </c>
      <c r="C155" s="227" t="s">
        <v>451</v>
      </c>
      <c r="D155" s="228">
        <v>46023</v>
      </c>
      <c r="E155" s="228">
        <v>46112</v>
      </c>
      <c r="F155" s="227">
        <v>7080</v>
      </c>
      <c r="G155" s="227">
        <v>3.84</v>
      </c>
      <c r="H155" s="227">
        <v>12902.4</v>
      </c>
      <c r="I155" s="227">
        <v>3360</v>
      </c>
      <c r="J155" s="227">
        <v>4</v>
      </c>
      <c r="K155" s="57"/>
      <c r="L155" s="57"/>
      <c r="M155" s="57"/>
      <c r="N155" s="57"/>
      <c r="O155" s="57"/>
      <c r="P155" s="57"/>
    </row>
    <row r="156" spans="1:16" x14ac:dyDescent="0.25">
      <c r="A156" s="227" t="s">
        <v>295</v>
      </c>
      <c r="B156" s="227" t="s">
        <v>145</v>
      </c>
      <c r="C156" s="227" t="s">
        <v>452</v>
      </c>
      <c r="D156" s="228">
        <v>46023</v>
      </c>
      <c r="E156" s="228">
        <v>46112</v>
      </c>
      <c r="F156" s="227">
        <v>6980</v>
      </c>
      <c r="G156" s="227">
        <v>3.84</v>
      </c>
      <c r="H156" s="227">
        <v>12902.4</v>
      </c>
      <c r="I156" s="227">
        <v>3360</v>
      </c>
      <c r="J156" s="227">
        <v>4</v>
      </c>
      <c r="K156" s="57"/>
      <c r="L156" s="57"/>
      <c r="M156" s="57"/>
      <c r="N156" s="57"/>
      <c r="O156" s="57"/>
      <c r="P156" s="57"/>
    </row>
    <row r="157" spans="1:16" x14ac:dyDescent="0.25">
      <c r="A157" s="227" t="s">
        <v>295</v>
      </c>
      <c r="B157" s="227" t="s">
        <v>146</v>
      </c>
      <c r="C157" s="227" t="s">
        <v>453</v>
      </c>
      <c r="D157" s="228">
        <v>46023</v>
      </c>
      <c r="E157" s="228">
        <v>46112</v>
      </c>
      <c r="F157" s="227">
        <v>7080</v>
      </c>
      <c r="G157" s="227">
        <v>3.9</v>
      </c>
      <c r="H157" s="227">
        <v>13084.5</v>
      </c>
      <c r="I157" s="227">
        <v>3355</v>
      </c>
      <c r="J157" s="227">
        <v>2</v>
      </c>
      <c r="K157" s="57"/>
      <c r="L157" s="57"/>
      <c r="M157" s="57"/>
      <c r="N157" s="57"/>
      <c r="O157" s="57"/>
      <c r="P157" s="57"/>
    </row>
    <row r="158" spans="1:16" x14ac:dyDescent="0.25">
      <c r="A158" s="227" t="s">
        <v>295</v>
      </c>
      <c r="B158" s="227" t="s">
        <v>147</v>
      </c>
      <c r="C158" s="227" t="s">
        <v>454</v>
      </c>
      <c r="D158" s="228">
        <v>46023</v>
      </c>
      <c r="E158" s="228">
        <v>46112</v>
      </c>
      <c r="F158" s="227">
        <v>6980</v>
      </c>
      <c r="G158" s="227">
        <v>3.9</v>
      </c>
      <c r="H158" s="227">
        <v>13084.5</v>
      </c>
      <c r="I158" s="227">
        <v>3355</v>
      </c>
      <c r="J158" s="227">
        <v>2</v>
      </c>
      <c r="K158" s="57"/>
      <c r="L158" s="57"/>
      <c r="M158" s="57"/>
      <c r="N158" s="57"/>
      <c r="O158" s="57"/>
      <c r="P158" s="57"/>
    </row>
    <row r="159" spans="1:16" x14ac:dyDescent="0.25">
      <c r="A159" s="227" t="s">
        <v>295</v>
      </c>
      <c r="B159" s="227" t="s">
        <v>537</v>
      </c>
      <c r="C159" s="227" t="s">
        <v>455</v>
      </c>
      <c r="D159" s="228">
        <v>46023</v>
      </c>
      <c r="E159" s="228">
        <v>46112</v>
      </c>
      <c r="F159" s="227">
        <v>7500</v>
      </c>
      <c r="G159" s="227">
        <v>5.76</v>
      </c>
      <c r="H159" s="227">
        <v>9849.6</v>
      </c>
      <c r="I159" s="227">
        <v>1710</v>
      </c>
      <c r="J159" s="227">
        <v>24</v>
      </c>
      <c r="K159" s="57"/>
      <c r="L159" s="57"/>
      <c r="M159" s="57"/>
      <c r="N159" s="57"/>
      <c r="O159" s="57"/>
      <c r="P159" s="57"/>
    </row>
    <row r="160" spans="1:16" x14ac:dyDescent="0.25">
      <c r="A160" s="227" t="s">
        <v>295</v>
      </c>
      <c r="B160" s="227" t="s">
        <v>484</v>
      </c>
      <c r="C160" s="227" t="s">
        <v>485</v>
      </c>
      <c r="D160" s="228">
        <v>45901</v>
      </c>
      <c r="E160" s="228">
        <v>46174</v>
      </c>
      <c r="F160" s="227">
        <v>8450</v>
      </c>
      <c r="G160" s="227">
        <v>5.76</v>
      </c>
      <c r="H160" s="227">
        <v>9849.6</v>
      </c>
      <c r="I160" s="227">
        <v>1710</v>
      </c>
      <c r="J160" s="227">
        <v>24</v>
      </c>
      <c r="K160" s="57"/>
      <c r="L160" s="57"/>
      <c r="M160" s="57"/>
      <c r="N160" s="57"/>
      <c r="O160" s="57"/>
      <c r="P160" s="57"/>
    </row>
    <row r="161" spans="1:16" x14ac:dyDescent="0.25">
      <c r="A161" s="227" t="s">
        <v>296</v>
      </c>
      <c r="B161" s="227" t="s">
        <v>160</v>
      </c>
      <c r="C161" s="227" t="s">
        <v>439</v>
      </c>
      <c r="D161" s="228">
        <v>46023</v>
      </c>
      <c r="E161" s="228">
        <v>46112</v>
      </c>
      <c r="F161" s="227">
        <v>2250</v>
      </c>
      <c r="G161" s="227">
        <v>5.76</v>
      </c>
      <c r="H161" s="227">
        <v>18432</v>
      </c>
      <c r="I161" s="227">
        <v>3200</v>
      </c>
      <c r="J161" s="227">
        <v>24</v>
      </c>
      <c r="K161" s="57"/>
      <c r="L161" s="57"/>
      <c r="M161" s="57"/>
      <c r="N161" s="57"/>
      <c r="O161" s="57"/>
      <c r="P161" s="57"/>
    </row>
    <row r="162" spans="1:16" x14ac:dyDescent="0.25">
      <c r="A162" s="227" t="s">
        <v>296</v>
      </c>
      <c r="B162" s="227" t="s">
        <v>161</v>
      </c>
      <c r="C162" s="227" t="s">
        <v>440</v>
      </c>
      <c r="D162" s="228">
        <v>46023</v>
      </c>
      <c r="E162" s="228">
        <v>46112</v>
      </c>
      <c r="F162" s="227">
        <v>3700</v>
      </c>
      <c r="G162" s="227">
        <v>4.32</v>
      </c>
      <c r="H162" s="227">
        <v>13824</v>
      </c>
      <c r="I162" s="227">
        <v>3200</v>
      </c>
      <c r="J162" s="227">
        <v>24</v>
      </c>
      <c r="K162" s="57"/>
      <c r="L162" s="57"/>
      <c r="M162" s="57"/>
      <c r="N162" s="57"/>
      <c r="O162" s="57"/>
      <c r="P162" s="57"/>
    </row>
    <row r="163" spans="1:16" x14ac:dyDescent="0.25">
      <c r="A163" s="227" t="s">
        <v>296</v>
      </c>
      <c r="B163" s="227" t="s">
        <v>162</v>
      </c>
      <c r="C163" s="227" t="s">
        <v>441</v>
      </c>
      <c r="D163" s="228">
        <v>46023</v>
      </c>
      <c r="E163" s="228">
        <v>46112</v>
      </c>
      <c r="F163" s="227">
        <v>2350</v>
      </c>
      <c r="G163" s="227">
        <v>5.3760000000000003</v>
      </c>
      <c r="H163" s="227">
        <v>17203.2</v>
      </c>
      <c r="I163" s="227">
        <v>3200</v>
      </c>
      <c r="J163" s="227">
        <v>24</v>
      </c>
      <c r="K163" s="57"/>
      <c r="L163" s="57"/>
      <c r="M163" s="57"/>
      <c r="N163" s="57"/>
      <c r="O163" s="57"/>
      <c r="P163" s="57"/>
    </row>
    <row r="164" spans="1:16" x14ac:dyDescent="0.25">
      <c r="A164" s="227" t="s">
        <v>296</v>
      </c>
      <c r="B164" s="227" t="s">
        <v>212</v>
      </c>
      <c r="C164" s="227" t="s">
        <v>442</v>
      </c>
      <c r="D164" s="228">
        <v>46023</v>
      </c>
      <c r="E164" s="228">
        <v>46112</v>
      </c>
      <c r="F164" s="227">
        <v>3700</v>
      </c>
      <c r="G164" s="227">
        <v>4.32</v>
      </c>
      <c r="H164" s="227">
        <v>13824</v>
      </c>
      <c r="I164" s="227">
        <v>3200</v>
      </c>
      <c r="J164" s="227">
        <v>24</v>
      </c>
      <c r="K164" s="57"/>
      <c r="L164" s="57"/>
      <c r="M164" s="57"/>
      <c r="N164" s="57"/>
      <c r="O164" s="57"/>
      <c r="P164" s="57"/>
    </row>
    <row r="165" spans="1:16" x14ac:dyDescent="0.25">
      <c r="A165" s="227" t="s">
        <v>296</v>
      </c>
      <c r="B165" s="227" t="s">
        <v>215</v>
      </c>
      <c r="C165" s="227" t="s">
        <v>456</v>
      </c>
      <c r="D165" s="228">
        <v>46023</v>
      </c>
      <c r="E165" s="228">
        <v>46112</v>
      </c>
      <c r="F165" s="227">
        <v>3900</v>
      </c>
      <c r="G165" s="227">
        <v>10</v>
      </c>
      <c r="H165" s="227">
        <v>20000</v>
      </c>
      <c r="I165" s="227">
        <v>2000</v>
      </c>
      <c r="J165" s="227">
        <v>37</v>
      </c>
      <c r="K165" s="57"/>
      <c r="L165" s="57"/>
      <c r="M165" s="57"/>
      <c r="N165" s="57"/>
      <c r="O165" s="57"/>
      <c r="P165" s="57"/>
    </row>
    <row r="166" spans="1:16" x14ac:dyDescent="0.25">
      <c r="A166" s="227" t="s">
        <v>296</v>
      </c>
      <c r="B166" s="227" t="s">
        <v>266</v>
      </c>
      <c r="C166" s="227" t="s">
        <v>443</v>
      </c>
      <c r="D166" s="228">
        <v>46023</v>
      </c>
      <c r="E166" s="228">
        <v>46112</v>
      </c>
      <c r="F166" s="227">
        <v>2250</v>
      </c>
      <c r="G166" s="227">
        <v>7.68</v>
      </c>
      <c r="H166" s="227">
        <v>21504</v>
      </c>
      <c r="I166" s="227">
        <v>2800</v>
      </c>
      <c r="J166" s="227">
        <v>24</v>
      </c>
      <c r="K166" s="57"/>
      <c r="L166" s="57"/>
      <c r="M166" s="57"/>
      <c r="N166" s="57"/>
      <c r="O166" s="57"/>
      <c r="P166" s="57"/>
    </row>
    <row r="167" spans="1:16" x14ac:dyDescent="0.25">
      <c r="A167" s="227" t="s">
        <v>296</v>
      </c>
      <c r="B167" s="227" t="s">
        <v>268</v>
      </c>
      <c r="C167" s="227" t="s">
        <v>444</v>
      </c>
      <c r="D167" s="228">
        <v>46023</v>
      </c>
      <c r="E167" s="228">
        <v>46112</v>
      </c>
      <c r="F167" s="227">
        <v>2800</v>
      </c>
      <c r="G167" s="227">
        <v>6</v>
      </c>
      <c r="H167" s="227">
        <v>19200</v>
      </c>
      <c r="I167" s="227">
        <v>3200</v>
      </c>
      <c r="J167" s="227">
        <v>24</v>
      </c>
      <c r="K167" s="57"/>
      <c r="L167" s="57"/>
      <c r="M167" s="57"/>
      <c r="N167" s="57"/>
      <c r="O167" s="57"/>
      <c r="P167" s="57"/>
    </row>
    <row r="168" spans="1:16" x14ac:dyDescent="0.25">
      <c r="A168" s="227" t="s">
        <v>486</v>
      </c>
      <c r="B168" s="227" t="s">
        <v>487</v>
      </c>
      <c r="C168" s="227" t="s">
        <v>488</v>
      </c>
      <c r="D168" s="228">
        <v>46027</v>
      </c>
      <c r="E168" s="228">
        <v>46203</v>
      </c>
      <c r="F168" s="227">
        <v>34.799999999999997</v>
      </c>
      <c r="G168" s="227">
        <v>10</v>
      </c>
      <c r="H168" s="227">
        <v>0</v>
      </c>
      <c r="I168" s="227">
        <v>0</v>
      </c>
      <c r="J168" s="227">
        <v>10</v>
      </c>
      <c r="K168" s="57"/>
      <c r="L168" s="57"/>
      <c r="M168" s="57"/>
      <c r="N168" s="57"/>
      <c r="O168" s="57"/>
      <c r="P168" s="57"/>
    </row>
    <row r="169" spans="1:16" x14ac:dyDescent="0.25">
      <c r="A169" s="227" t="s">
        <v>486</v>
      </c>
      <c r="F169" s="227">
        <v>35</v>
      </c>
      <c r="G169" s="227">
        <v>10</v>
      </c>
      <c r="H169" s="227">
        <v>0</v>
      </c>
      <c r="I169" s="227">
        <v>0</v>
      </c>
      <c r="J169" s="227">
        <v>10</v>
      </c>
      <c r="K169" s="57"/>
      <c r="L169" s="57"/>
      <c r="M169" s="57"/>
      <c r="N169" s="57"/>
      <c r="O169" s="57"/>
      <c r="P169" s="57"/>
    </row>
    <row r="170" spans="1:16" x14ac:dyDescent="0.25">
      <c r="A170" s="227" t="s">
        <v>486</v>
      </c>
      <c r="B170" s="227" t="s">
        <v>489</v>
      </c>
      <c r="C170" s="227" t="s">
        <v>490</v>
      </c>
      <c r="D170" s="228">
        <v>46027</v>
      </c>
      <c r="E170" s="228">
        <v>46203</v>
      </c>
      <c r="F170" s="227">
        <v>33.4</v>
      </c>
      <c r="G170" s="227">
        <v>10</v>
      </c>
      <c r="H170" s="227">
        <v>0</v>
      </c>
      <c r="I170" s="227">
        <v>0</v>
      </c>
      <c r="J170" s="227">
        <v>5</v>
      </c>
      <c r="K170" s="57"/>
      <c r="L170" s="57"/>
      <c r="M170" s="57"/>
      <c r="N170" s="57"/>
      <c r="O170" s="57"/>
      <c r="P170" s="57"/>
    </row>
    <row r="171" spans="1:16" x14ac:dyDescent="0.25">
      <c r="A171" s="227" t="s">
        <v>486</v>
      </c>
      <c r="F171" s="227">
        <v>33.6</v>
      </c>
      <c r="G171" s="227">
        <v>10</v>
      </c>
      <c r="H171" s="227">
        <v>0</v>
      </c>
      <c r="I171" s="227">
        <v>0</v>
      </c>
      <c r="J171" s="227">
        <v>5</v>
      </c>
      <c r="K171" s="57"/>
      <c r="L171" s="57"/>
      <c r="M171" s="57"/>
      <c r="N171" s="57"/>
      <c r="O171" s="57"/>
      <c r="P171" s="57"/>
    </row>
    <row r="172" spans="1:16" x14ac:dyDescent="0.25">
      <c r="A172" s="227" t="s">
        <v>486</v>
      </c>
      <c r="B172" s="227" t="s">
        <v>491</v>
      </c>
      <c r="C172" s="227" t="s">
        <v>492</v>
      </c>
      <c r="D172" s="228">
        <v>46027</v>
      </c>
      <c r="E172" s="228">
        <v>46203</v>
      </c>
      <c r="F172" s="227">
        <v>16.95</v>
      </c>
      <c r="G172" s="227">
        <v>5</v>
      </c>
      <c r="H172" s="227">
        <v>0</v>
      </c>
      <c r="I172" s="227">
        <v>0</v>
      </c>
      <c r="J172" s="227">
        <v>5</v>
      </c>
      <c r="K172" s="57"/>
      <c r="L172" s="57"/>
      <c r="M172" s="57"/>
      <c r="N172" s="57"/>
      <c r="O172" s="57"/>
      <c r="P172" s="57"/>
    </row>
    <row r="173" spans="1:16" x14ac:dyDescent="0.25">
      <c r="A173" s="227" t="s">
        <v>486</v>
      </c>
      <c r="F173" s="227">
        <v>17.05</v>
      </c>
      <c r="G173" s="227">
        <v>5</v>
      </c>
      <c r="H173" s="227">
        <v>0</v>
      </c>
      <c r="I173" s="227">
        <v>0</v>
      </c>
      <c r="J173" s="227">
        <v>5</v>
      </c>
      <c r="K173" s="57"/>
      <c r="L173" s="57"/>
      <c r="M173" s="57"/>
      <c r="N173" s="57"/>
      <c r="O173" s="57"/>
      <c r="P173" s="57"/>
    </row>
    <row r="174" spans="1:16" x14ac:dyDescent="0.25">
      <c r="A174" s="227" t="s">
        <v>486</v>
      </c>
      <c r="B174" s="227" t="s">
        <v>493</v>
      </c>
      <c r="C174" s="227" t="s">
        <v>494</v>
      </c>
      <c r="D174" s="228">
        <v>46027</v>
      </c>
      <c r="E174" s="228">
        <v>46203</v>
      </c>
      <c r="F174" s="227">
        <v>32.799999999999997</v>
      </c>
      <c r="G174" s="227">
        <v>10</v>
      </c>
      <c r="H174" s="227">
        <v>0</v>
      </c>
      <c r="I174" s="227">
        <v>0</v>
      </c>
      <c r="J174" s="227">
        <v>5</v>
      </c>
      <c r="K174" s="57"/>
      <c r="L174" s="57"/>
      <c r="M174" s="57"/>
      <c r="N174" s="57"/>
      <c r="O174" s="57"/>
      <c r="P174" s="57"/>
    </row>
    <row r="175" spans="1:16" x14ac:dyDescent="0.25">
      <c r="A175" s="227" t="s">
        <v>486</v>
      </c>
      <c r="F175" s="227">
        <v>33</v>
      </c>
      <c r="G175" s="227">
        <v>10</v>
      </c>
      <c r="H175" s="227">
        <v>0</v>
      </c>
      <c r="I175" s="227">
        <v>0</v>
      </c>
      <c r="J175" s="227">
        <v>5</v>
      </c>
      <c r="K175" s="57"/>
      <c r="L175" s="57"/>
      <c r="M175" s="57"/>
      <c r="N175" s="57"/>
      <c r="O175" s="57"/>
      <c r="P175" s="57"/>
    </row>
    <row r="176" spans="1:16" x14ac:dyDescent="0.25">
      <c r="A176" s="227" t="s">
        <v>486</v>
      </c>
      <c r="B176" s="227" t="s">
        <v>495</v>
      </c>
      <c r="C176" s="227" t="s">
        <v>496</v>
      </c>
      <c r="D176" s="228">
        <v>46027</v>
      </c>
      <c r="E176" s="228">
        <v>46203</v>
      </c>
      <c r="F176" s="227">
        <v>10.14</v>
      </c>
      <c r="G176" s="227">
        <v>3</v>
      </c>
      <c r="H176" s="227">
        <v>0</v>
      </c>
      <c r="I176" s="227">
        <v>0</v>
      </c>
      <c r="J176" s="227">
        <v>3</v>
      </c>
      <c r="K176" s="57"/>
      <c r="L176" s="57"/>
      <c r="M176" s="57"/>
      <c r="N176" s="57"/>
      <c r="O176" s="57"/>
      <c r="P176" s="57"/>
    </row>
    <row r="177" spans="1:16" x14ac:dyDescent="0.25">
      <c r="A177" s="227" t="s">
        <v>486</v>
      </c>
      <c r="F177" s="227">
        <v>10.199999999999999</v>
      </c>
      <c r="G177" s="227">
        <v>3</v>
      </c>
      <c r="H177" s="227">
        <v>0</v>
      </c>
      <c r="I177" s="227">
        <v>0</v>
      </c>
      <c r="J177" s="227">
        <v>3</v>
      </c>
      <c r="K177" s="57"/>
      <c r="L177" s="57"/>
      <c r="M177" s="57"/>
      <c r="N177" s="57"/>
      <c r="O177" s="57"/>
      <c r="P177" s="57"/>
    </row>
    <row r="178" spans="1:16" x14ac:dyDescent="0.25">
      <c r="A178" s="227" t="s">
        <v>486</v>
      </c>
      <c r="B178" s="227" t="s">
        <v>497</v>
      </c>
      <c r="C178" s="227" t="s">
        <v>496</v>
      </c>
      <c r="D178" s="228">
        <v>46027</v>
      </c>
      <c r="E178" s="228">
        <v>46203</v>
      </c>
      <c r="F178" s="227">
        <v>33.799999999999997</v>
      </c>
      <c r="G178" s="227">
        <v>10</v>
      </c>
      <c r="H178" s="227">
        <v>0</v>
      </c>
      <c r="I178" s="227">
        <v>0</v>
      </c>
      <c r="J178" s="227">
        <v>5</v>
      </c>
      <c r="K178" s="57"/>
      <c r="L178" s="57"/>
      <c r="M178" s="57"/>
      <c r="N178" s="57"/>
      <c r="O178" s="57"/>
      <c r="P178" s="57"/>
    </row>
    <row r="179" spans="1:16" x14ac:dyDescent="0.25">
      <c r="A179" s="227" t="s">
        <v>486</v>
      </c>
      <c r="F179" s="227">
        <v>34</v>
      </c>
      <c r="G179" s="227">
        <v>10</v>
      </c>
      <c r="H179" s="227">
        <v>0</v>
      </c>
      <c r="I179" s="227">
        <v>0</v>
      </c>
      <c r="J179" s="227">
        <v>5</v>
      </c>
      <c r="K179" s="57"/>
      <c r="L179" s="57"/>
      <c r="M179" s="57"/>
      <c r="N179" s="57"/>
      <c r="O179" s="57"/>
      <c r="P179" s="57"/>
    </row>
    <row r="180" spans="1:16" x14ac:dyDescent="0.25">
      <c r="A180" s="227" t="s">
        <v>486</v>
      </c>
      <c r="B180" s="227" t="s">
        <v>498</v>
      </c>
      <c r="C180" s="227" t="s">
        <v>499</v>
      </c>
      <c r="D180" s="228">
        <v>46027</v>
      </c>
      <c r="E180" s="228">
        <v>46203</v>
      </c>
      <c r="F180" s="227">
        <v>16.7</v>
      </c>
      <c r="G180" s="227">
        <v>5</v>
      </c>
      <c r="H180" s="227">
        <v>0</v>
      </c>
      <c r="I180" s="227">
        <v>0</v>
      </c>
      <c r="J180" s="227">
        <v>2</v>
      </c>
      <c r="K180" s="57"/>
      <c r="L180" s="57"/>
      <c r="M180" s="57"/>
      <c r="N180" s="57"/>
      <c r="O180" s="57"/>
      <c r="P180" s="57"/>
    </row>
    <row r="181" spans="1:16" x14ac:dyDescent="0.25">
      <c r="A181" s="227" t="s">
        <v>486</v>
      </c>
      <c r="F181" s="227">
        <v>16.8</v>
      </c>
      <c r="G181" s="227">
        <v>5</v>
      </c>
      <c r="H181" s="227">
        <v>0</v>
      </c>
      <c r="I181" s="227">
        <v>0</v>
      </c>
      <c r="J181" s="227">
        <v>2</v>
      </c>
      <c r="K181" s="57"/>
      <c r="L181" s="57"/>
      <c r="M181" s="57"/>
      <c r="N181" s="57"/>
      <c r="O181" s="57"/>
      <c r="P181" s="57"/>
    </row>
    <row r="182" spans="1:16" x14ac:dyDescent="0.25">
      <c r="A182" s="227" t="s">
        <v>486</v>
      </c>
      <c r="B182" s="227" t="s">
        <v>500</v>
      </c>
      <c r="C182" s="227" t="s">
        <v>501</v>
      </c>
      <c r="D182" s="228">
        <v>46027</v>
      </c>
      <c r="E182" s="228">
        <v>46203</v>
      </c>
      <c r="F182" s="227">
        <v>10.14</v>
      </c>
      <c r="G182" s="227">
        <v>3</v>
      </c>
      <c r="H182" s="227">
        <v>0</v>
      </c>
      <c r="I182" s="227">
        <v>0</v>
      </c>
      <c r="J182" s="227">
        <v>3</v>
      </c>
      <c r="K182" s="57"/>
      <c r="L182" s="57"/>
      <c r="M182" s="57"/>
      <c r="N182" s="57"/>
      <c r="O182" s="57"/>
      <c r="P182" s="57"/>
    </row>
    <row r="183" spans="1:16" x14ac:dyDescent="0.25">
      <c r="A183" s="227" t="s">
        <v>486</v>
      </c>
      <c r="F183" s="227">
        <v>10.199999999999999</v>
      </c>
      <c r="G183" s="227">
        <v>3</v>
      </c>
      <c r="H183" s="227">
        <v>0</v>
      </c>
      <c r="I183" s="227">
        <v>0</v>
      </c>
      <c r="J183" s="227">
        <v>3</v>
      </c>
      <c r="K183" s="57"/>
      <c r="L183" s="57"/>
      <c r="M183" s="57"/>
      <c r="N183" s="57"/>
      <c r="O183" s="57"/>
      <c r="P183" s="57"/>
    </row>
    <row r="184" spans="1:16" x14ac:dyDescent="0.25">
      <c r="A184" s="227" t="s">
        <v>486</v>
      </c>
      <c r="B184" s="227" t="s">
        <v>502</v>
      </c>
      <c r="C184" s="227" t="s">
        <v>503</v>
      </c>
      <c r="D184" s="228">
        <v>46027</v>
      </c>
      <c r="E184" s="228">
        <v>46203</v>
      </c>
      <c r="F184" s="227">
        <v>17.8</v>
      </c>
      <c r="G184" s="227">
        <v>5</v>
      </c>
      <c r="H184" s="227">
        <v>0</v>
      </c>
      <c r="I184" s="227">
        <v>0</v>
      </c>
      <c r="J184" s="227">
        <v>10</v>
      </c>
      <c r="K184" s="57"/>
      <c r="L184" s="57"/>
      <c r="M184" s="57"/>
      <c r="N184" s="57"/>
      <c r="O184" s="57"/>
      <c r="P184" s="57"/>
    </row>
    <row r="185" spans="1:16" x14ac:dyDescent="0.25">
      <c r="A185" s="227" t="s">
        <v>486</v>
      </c>
      <c r="F185" s="227">
        <v>17.899999999999999</v>
      </c>
      <c r="G185" s="227">
        <v>5</v>
      </c>
      <c r="H185" s="227">
        <v>0</v>
      </c>
      <c r="I185" s="227">
        <v>0</v>
      </c>
      <c r="J185" s="227">
        <v>10</v>
      </c>
      <c r="K185" s="57"/>
      <c r="L185" s="57"/>
      <c r="M185" s="57"/>
      <c r="N185" s="57"/>
      <c r="O185" s="57"/>
      <c r="P185" s="57"/>
    </row>
    <row r="186" spans="1:16" x14ac:dyDescent="0.25">
      <c r="A186" s="227" t="s">
        <v>486</v>
      </c>
      <c r="B186" s="227" t="s">
        <v>504</v>
      </c>
      <c r="C186" s="227" t="s">
        <v>505</v>
      </c>
      <c r="D186" s="228">
        <v>46027</v>
      </c>
      <c r="E186" s="228">
        <v>46203</v>
      </c>
      <c r="F186" s="227">
        <v>33.222000000000001</v>
      </c>
      <c r="G186" s="227">
        <v>9.8000000000000007</v>
      </c>
      <c r="H186" s="227">
        <v>0</v>
      </c>
      <c r="I186" s="227">
        <v>0</v>
      </c>
      <c r="J186" s="227">
        <v>14</v>
      </c>
    </row>
    <row r="187" spans="1:16" x14ac:dyDescent="0.25">
      <c r="A187" s="227" t="s">
        <v>486</v>
      </c>
      <c r="F187" s="227">
        <v>33.417999999999999</v>
      </c>
      <c r="G187" s="227">
        <v>9.8000000000000007</v>
      </c>
      <c r="H187" s="227">
        <v>0</v>
      </c>
      <c r="I187" s="227">
        <v>0</v>
      </c>
      <c r="J187" s="227">
        <v>14</v>
      </c>
    </row>
    <row r="188" spans="1:16" x14ac:dyDescent="0.25">
      <c r="A188" s="227" t="s">
        <v>486</v>
      </c>
      <c r="B188" s="227" t="s">
        <v>506</v>
      </c>
      <c r="C188" s="227" t="s">
        <v>507</v>
      </c>
      <c r="D188" s="228">
        <v>46027</v>
      </c>
      <c r="E188" s="228">
        <v>46203</v>
      </c>
      <c r="F188" s="227">
        <v>33.9</v>
      </c>
      <c r="G188" s="227">
        <v>10</v>
      </c>
      <c r="H188" s="227">
        <v>0</v>
      </c>
      <c r="I188" s="227">
        <v>0</v>
      </c>
      <c r="J188" s="227">
        <v>10</v>
      </c>
    </row>
    <row r="189" spans="1:16" x14ac:dyDescent="0.25">
      <c r="A189" s="227" t="s">
        <v>486</v>
      </c>
      <c r="F189" s="227">
        <v>34.1</v>
      </c>
      <c r="G189" s="227">
        <v>10</v>
      </c>
      <c r="H189" s="227">
        <v>0</v>
      </c>
      <c r="I189" s="227">
        <v>0</v>
      </c>
      <c r="J189" s="227">
        <v>10</v>
      </c>
    </row>
    <row r="190" spans="1:16" x14ac:dyDescent="0.25">
      <c r="A190" s="227" t="s">
        <v>486</v>
      </c>
      <c r="B190" s="227" t="s">
        <v>508</v>
      </c>
      <c r="C190" s="227" t="s">
        <v>509</v>
      </c>
      <c r="D190" s="228">
        <v>46027</v>
      </c>
      <c r="E190" s="228">
        <v>46203</v>
      </c>
      <c r="F190" s="227">
        <v>33.799999999999997</v>
      </c>
      <c r="G190" s="227">
        <v>10</v>
      </c>
      <c r="H190" s="227">
        <v>0</v>
      </c>
      <c r="I190" s="227">
        <v>0</v>
      </c>
      <c r="J190" s="227">
        <v>10</v>
      </c>
    </row>
    <row r="191" spans="1:16" x14ac:dyDescent="0.25">
      <c r="A191" s="227" t="s">
        <v>486</v>
      </c>
      <c r="F191" s="227">
        <v>34</v>
      </c>
      <c r="G191" s="227">
        <v>10</v>
      </c>
      <c r="H191" s="227">
        <v>0</v>
      </c>
      <c r="I191" s="227">
        <v>0</v>
      </c>
      <c r="J191" s="227">
        <v>10</v>
      </c>
    </row>
    <row r="192" spans="1:16" x14ac:dyDescent="0.25">
      <c r="A192" s="227" t="s">
        <v>510</v>
      </c>
      <c r="B192" s="227" t="s">
        <v>511</v>
      </c>
      <c r="C192" s="227" t="s">
        <v>512</v>
      </c>
      <c r="D192" s="228">
        <v>46023</v>
      </c>
      <c r="E192" s="228">
        <v>46369</v>
      </c>
      <c r="F192" s="227">
        <v>7200</v>
      </c>
      <c r="G192" s="227">
        <v>4.5</v>
      </c>
      <c r="H192" s="227">
        <v>16650</v>
      </c>
      <c r="I192" s="227">
        <v>3700</v>
      </c>
      <c r="J192" s="227">
        <v>3</v>
      </c>
    </row>
    <row r="193" spans="1:10" x14ac:dyDescent="0.25">
      <c r="A193" s="227" t="s">
        <v>510</v>
      </c>
      <c r="B193" s="227" t="s">
        <v>513</v>
      </c>
      <c r="C193" s="227" t="s">
        <v>514</v>
      </c>
      <c r="D193" s="228">
        <v>46023</v>
      </c>
      <c r="E193" s="228">
        <v>46387</v>
      </c>
      <c r="F193" s="227">
        <v>8100</v>
      </c>
      <c r="G193" s="227">
        <v>4.5</v>
      </c>
      <c r="H193" s="227">
        <v>16650</v>
      </c>
      <c r="I193" s="227">
        <v>3700</v>
      </c>
      <c r="J193" s="227">
        <v>3</v>
      </c>
    </row>
    <row r="194" spans="1:10" x14ac:dyDescent="0.25">
      <c r="A194" s="227" t="s">
        <v>510</v>
      </c>
      <c r="B194" s="227" t="s">
        <v>515</v>
      </c>
      <c r="C194" s="227" t="s">
        <v>516</v>
      </c>
      <c r="D194" s="228">
        <v>46023</v>
      </c>
      <c r="E194" s="228">
        <v>46387</v>
      </c>
      <c r="F194" s="227">
        <v>7900</v>
      </c>
      <c r="G194" s="227">
        <v>4.5</v>
      </c>
      <c r="H194" s="227">
        <v>16650</v>
      </c>
      <c r="I194" s="227">
        <v>3700</v>
      </c>
      <c r="J194" s="227">
        <v>3</v>
      </c>
    </row>
    <row r="195" spans="1:10" x14ac:dyDescent="0.25">
      <c r="A195" s="227" t="s">
        <v>517</v>
      </c>
      <c r="B195" s="227" t="s">
        <v>476</v>
      </c>
      <c r="C195" s="227" t="s">
        <v>477</v>
      </c>
      <c r="D195" s="228">
        <v>45992</v>
      </c>
      <c r="E195" s="228">
        <v>46387</v>
      </c>
      <c r="F195" s="227">
        <v>4000</v>
      </c>
      <c r="G195" s="227">
        <v>10</v>
      </c>
      <c r="H195" s="227">
        <v>0</v>
      </c>
      <c r="I195" s="227">
        <v>0</v>
      </c>
      <c r="J195" s="227">
        <v>10</v>
      </c>
    </row>
    <row r="196" spans="1:10" x14ac:dyDescent="0.25">
      <c r="A196" s="227" t="s">
        <v>538</v>
      </c>
      <c r="B196" s="227" t="s">
        <v>539</v>
      </c>
      <c r="C196" s="227" t="s">
        <v>540</v>
      </c>
      <c r="D196" s="228">
        <v>46023</v>
      </c>
      <c r="E196" s="228">
        <v>46203</v>
      </c>
      <c r="F196" s="227">
        <v>42.34</v>
      </c>
      <c r="G196" s="227">
        <v>7.2</v>
      </c>
      <c r="H196" s="227">
        <v>0</v>
      </c>
      <c r="I196" s="227">
        <v>0</v>
      </c>
      <c r="J196" s="227">
        <v>12</v>
      </c>
    </row>
    <row r="197" spans="1:10" x14ac:dyDescent="0.25">
      <c r="A197" s="227" t="s">
        <v>538</v>
      </c>
      <c r="B197" s="227" t="s">
        <v>541</v>
      </c>
      <c r="C197" s="227" t="s">
        <v>542</v>
      </c>
      <c r="D197" s="228">
        <v>46023</v>
      </c>
      <c r="E197" s="228">
        <v>46203</v>
      </c>
      <c r="F197" s="227">
        <v>41.19</v>
      </c>
      <c r="G197" s="227">
        <v>7.2</v>
      </c>
      <c r="H197" s="227">
        <v>0</v>
      </c>
      <c r="I197" s="227">
        <v>0</v>
      </c>
      <c r="J197" s="227">
        <v>12</v>
      </c>
    </row>
    <row r="198" spans="1:10" x14ac:dyDescent="0.25">
      <c r="A198" s="227" t="s">
        <v>543</v>
      </c>
      <c r="B198" s="227" t="s">
        <v>544</v>
      </c>
      <c r="C198" s="227" t="s">
        <v>545</v>
      </c>
      <c r="D198" s="228">
        <v>46023</v>
      </c>
      <c r="E198" s="228">
        <v>46203</v>
      </c>
      <c r="F198" s="227">
        <v>49.75</v>
      </c>
      <c r="G198" s="227">
        <v>11.36</v>
      </c>
      <c r="H198" s="227">
        <v>0</v>
      </c>
      <c r="I198" s="227">
        <v>0</v>
      </c>
      <c r="J198" s="227">
        <v>4</v>
      </c>
    </row>
    <row r="199" spans="1:10" x14ac:dyDescent="0.25">
      <c r="A199" s="227" t="s">
        <v>297</v>
      </c>
    </row>
  </sheetData>
  <pageMargins left="0.7" right="0.7" top="0.75" bottom="0.75" header="0.3" footer="0.3"/>
  <pageSetup paperSize="9" scale="31" orientation="portrait"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theme="2" tint="-0.249977111117893"/>
  </sheetPr>
  <dimension ref="A1:A175"/>
  <sheetViews>
    <sheetView topLeftCell="A145" workbookViewId="0">
      <selection activeCell="C20" sqref="C20"/>
    </sheetView>
  </sheetViews>
  <sheetFormatPr defaultRowHeight="15" x14ac:dyDescent="0.25"/>
  <cols>
    <col min="1" max="1" width="16.28515625" customWidth="1"/>
  </cols>
  <sheetData>
    <row r="1" spans="1:1" x14ac:dyDescent="0.25">
      <c r="A1" s="119" t="s">
        <v>104</v>
      </c>
    </row>
    <row r="2" spans="1:1" x14ac:dyDescent="0.25">
      <c r="A2" s="119" t="s">
        <v>106</v>
      </c>
    </row>
    <row r="3" spans="1:1" x14ac:dyDescent="0.25">
      <c r="A3" s="119" t="s">
        <v>109</v>
      </c>
    </row>
    <row r="4" spans="1:1" x14ac:dyDescent="0.25">
      <c r="A4" s="119" t="s">
        <v>110</v>
      </c>
    </row>
    <row r="5" spans="1:1" x14ac:dyDescent="0.25">
      <c r="A5" s="119" t="s">
        <v>105</v>
      </c>
    </row>
    <row r="6" spans="1:1" x14ac:dyDescent="0.25">
      <c r="A6" s="119" t="s">
        <v>111</v>
      </c>
    </row>
    <row r="7" spans="1:1" x14ac:dyDescent="0.25">
      <c r="A7" s="119" t="s">
        <v>112</v>
      </c>
    </row>
    <row r="8" spans="1:1" x14ac:dyDescent="0.25">
      <c r="A8" s="119" t="s">
        <v>113</v>
      </c>
    </row>
    <row r="9" spans="1:1" x14ac:dyDescent="0.25">
      <c r="A9" s="119" t="s">
        <v>114</v>
      </c>
    </row>
    <row r="10" spans="1:1" x14ac:dyDescent="0.25">
      <c r="A10" s="119" t="s">
        <v>115</v>
      </c>
    </row>
    <row r="11" spans="1:1" x14ac:dyDescent="0.25">
      <c r="A11" s="119" t="s">
        <v>116</v>
      </c>
    </row>
    <row r="12" spans="1:1" x14ac:dyDescent="0.25">
      <c r="A12" s="119" t="s">
        <v>117</v>
      </c>
    </row>
    <row r="13" spans="1:1" x14ac:dyDescent="0.25">
      <c r="A13" s="119" t="s">
        <v>118</v>
      </c>
    </row>
    <row r="14" spans="1:1" x14ac:dyDescent="0.25">
      <c r="A14" s="119" t="s">
        <v>119</v>
      </c>
    </row>
    <row r="15" spans="1:1" x14ac:dyDescent="0.25">
      <c r="A15" s="119" t="s">
        <v>120</v>
      </c>
    </row>
    <row r="16" spans="1:1" x14ac:dyDescent="0.25">
      <c r="A16" s="119" t="s">
        <v>121</v>
      </c>
    </row>
    <row r="17" spans="1:1" x14ac:dyDescent="0.25">
      <c r="A17" s="119" t="s">
        <v>122</v>
      </c>
    </row>
    <row r="18" spans="1:1" x14ac:dyDescent="0.25">
      <c r="A18" s="119" t="s">
        <v>123</v>
      </c>
    </row>
    <row r="19" spans="1:1" x14ac:dyDescent="0.25">
      <c r="A19" s="119" t="s">
        <v>124</v>
      </c>
    </row>
    <row r="20" spans="1:1" x14ac:dyDescent="0.25">
      <c r="A20" s="119" t="s">
        <v>125</v>
      </c>
    </row>
    <row r="21" spans="1:1" x14ac:dyDescent="0.25">
      <c r="A21" s="119" t="s">
        <v>126</v>
      </c>
    </row>
    <row r="22" spans="1:1" x14ac:dyDescent="0.25">
      <c r="A22" s="119" t="s">
        <v>127</v>
      </c>
    </row>
    <row r="23" spans="1:1" x14ac:dyDescent="0.25">
      <c r="A23" s="119" t="s">
        <v>128</v>
      </c>
    </row>
    <row r="24" spans="1:1" x14ac:dyDescent="0.25">
      <c r="A24" s="119" t="s">
        <v>107</v>
      </c>
    </row>
    <row r="25" spans="1:1" x14ac:dyDescent="0.25">
      <c r="A25" s="119" t="s">
        <v>129</v>
      </c>
    </row>
    <row r="26" spans="1:1" x14ac:dyDescent="0.25">
      <c r="A26" s="119" t="s">
        <v>130</v>
      </c>
    </row>
    <row r="27" spans="1:1" x14ac:dyDescent="0.25">
      <c r="A27" s="119" t="s">
        <v>131</v>
      </c>
    </row>
    <row r="28" spans="1:1" x14ac:dyDescent="0.25">
      <c r="A28" s="119" t="s">
        <v>132</v>
      </c>
    </row>
    <row r="29" spans="1:1" x14ac:dyDescent="0.25">
      <c r="A29" s="119" t="s">
        <v>133</v>
      </c>
    </row>
    <row r="30" spans="1:1" x14ac:dyDescent="0.25">
      <c r="A30" s="119" t="s">
        <v>134</v>
      </c>
    </row>
    <row r="31" spans="1:1" x14ac:dyDescent="0.25">
      <c r="A31" s="119" t="s">
        <v>135</v>
      </c>
    </row>
    <row r="32" spans="1:1" x14ac:dyDescent="0.25">
      <c r="A32" s="119" t="s">
        <v>136</v>
      </c>
    </row>
    <row r="33" spans="1:1" x14ac:dyDescent="0.25">
      <c r="A33" s="119" t="s">
        <v>137</v>
      </c>
    </row>
    <row r="34" spans="1:1" x14ac:dyDescent="0.25">
      <c r="A34" s="119" t="s">
        <v>138</v>
      </c>
    </row>
    <row r="35" spans="1:1" x14ac:dyDescent="0.25">
      <c r="A35" s="119" t="s">
        <v>139</v>
      </c>
    </row>
    <row r="36" spans="1:1" x14ac:dyDescent="0.25">
      <c r="A36" s="119" t="s">
        <v>140</v>
      </c>
    </row>
    <row r="37" spans="1:1" x14ac:dyDescent="0.25">
      <c r="A37" s="119" t="s">
        <v>141</v>
      </c>
    </row>
    <row r="38" spans="1:1" x14ac:dyDescent="0.25">
      <c r="A38" s="119" t="s">
        <v>142</v>
      </c>
    </row>
    <row r="39" spans="1:1" x14ac:dyDescent="0.25">
      <c r="A39" s="119" t="s">
        <v>143</v>
      </c>
    </row>
    <row r="40" spans="1:1" x14ac:dyDescent="0.25">
      <c r="A40" s="119" t="s">
        <v>144</v>
      </c>
    </row>
    <row r="41" spans="1:1" x14ac:dyDescent="0.25">
      <c r="A41" s="119" t="s">
        <v>145</v>
      </c>
    </row>
    <row r="42" spans="1:1" x14ac:dyDescent="0.25">
      <c r="A42" s="119" t="s">
        <v>146</v>
      </c>
    </row>
    <row r="43" spans="1:1" x14ac:dyDescent="0.25">
      <c r="A43" s="119" t="s">
        <v>147</v>
      </c>
    </row>
    <row r="44" spans="1:1" x14ac:dyDescent="0.25">
      <c r="A44" s="119" t="s">
        <v>148</v>
      </c>
    </row>
    <row r="45" spans="1:1" x14ac:dyDescent="0.25">
      <c r="A45" s="119" t="s">
        <v>149</v>
      </c>
    </row>
    <row r="46" spans="1:1" x14ac:dyDescent="0.25">
      <c r="A46" s="119" t="s">
        <v>150</v>
      </c>
    </row>
    <row r="47" spans="1:1" x14ac:dyDescent="0.25">
      <c r="A47" s="119" t="s">
        <v>151</v>
      </c>
    </row>
    <row r="48" spans="1:1" x14ac:dyDescent="0.25">
      <c r="A48" s="119" t="s">
        <v>152</v>
      </c>
    </row>
    <row r="49" spans="1:1" x14ac:dyDescent="0.25">
      <c r="A49" s="119" t="s">
        <v>153</v>
      </c>
    </row>
    <row r="50" spans="1:1" x14ac:dyDescent="0.25">
      <c r="A50" s="119" t="s">
        <v>154</v>
      </c>
    </row>
    <row r="51" spans="1:1" x14ac:dyDescent="0.25">
      <c r="A51" s="119" t="s">
        <v>155</v>
      </c>
    </row>
    <row r="52" spans="1:1" x14ac:dyDescent="0.25">
      <c r="A52" s="119" t="s">
        <v>156</v>
      </c>
    </row>
    <row r="53" spans="1:1" x14ac:dyDescent="0.25">
      <c r="A53" s="119" t="s">
        <v>157</v>
      </c>
    </row>
    <row r="54" spans="1:1" x14ac:dyDescent="0.25">
      <c r="A54" s="119" t="s">
        <v>158</v>
      </c>
    </row>
    <row r="55" spans="1:1" x14ac:dyDescent="0.25">
      <c r="A55" s="119" t="s">
        <v>159</v>
      </c>
    </row>
    <row r="56" spans="1:1" x14ac:dyDescent="0.25">
      <c r="A56" s="119" t="s">
        <v>160</v>
      </c>
    </row>
    <row r="57" spans="1:1" x14ac:dyDescent="0.25">
      <c r="A57" s="119" t="s">
        <v>161</v>
      </c>
    </row>
    <row r="58" spans="1:1" x14ac:dyDescent="0.25">
      <c r="A58" s="119" t="s">
        <v>162</v>
      </c>
    </row>
    <row r="59" spans="1:1" x14ac:dyDescent="0.25">
      <c r="A59" s="119" t="s">
        <v>163</v>
      </c>
    </row>
    <row r="60" spans="1:1" x14ac:dyDescent="0.25">
      <c r="A60" s="119" t="s">
        <v>164</v>
      </c>
    </row>
    <row r="61" spans="1:1" x14ac:dyDescent="0.25">
      <c r="A61" s="119" t="s">
        <v>165</v>
      </c>
    </row>
    <row r="62" spans="1:1" x14ac:dyDescent="0.25">
      <c r="A62" s="119" t="s">
        <v>166</v>
      </c>
    </row>
    <row r="63" spans="1:1" x14ac:dyDescent="0.25">
      <c r="A63" s="119" t="s">
        <v>167</v>
      </c>
    </row>
    <row r="64" spans="1:1" x14ac:dyDescent="0.25">
      <c r="A64" s="119" t="s">
        <v>168</v>
      </c>
    </row>
    <row r="65" spans="1:1" x14ac:dyDescent="0.25">
      <c r="A65" s="119" t="s">
        <v>169</v>
      </c>
    </row>
    <row r="66" spans="1:1" x14ac:dyDescent="0.25">
      <c r="A66" s="119" t="s">
        <v>170</v>
      </c>
    </row>
    <row r="67" spans="1:1" x14ac:dyDescent="0.25">
      <c r="A67" s="119" t="s">
        <v>171</v>
      </c>
    </row>
    <row r="68" spans="1:1" x14ac:dyDescent="0.25">
      <c r="A68" s="119" t="s">
        <v>172</v>
      </c>
    </row>
    <row r="69" spans="1:1" x14ac:dyDescent="0.25">
      <c r="A69" s="119" t="s">
        <v>173</v>
      </c>
    </row>
    <row r="70" spans="1:1" x14ac:dyDescent="0.25">
      <c r="A70" s="119" t="s">
        <v>174</v>
      </c>
    </row>
    <row r="71" spans="1:1" x14ac:dyDescent="0.25">
      <c r="A71" s="119" t="s">
        <v>175</v>
      </c>
    </row>
    <row r="72" spans="1:1" x14ac:dyDescent="0.25">
      <c r="A72" s="119" t="s">
        <v>176</v>
      </c>
    </row>
    <row r="73" spans="1:1" x14ac:dyDescent="0.25">
      <c r="A73" s="119" t="s">
        <v>177</v>
      </c>
    </row>
    <row r="74" spans="1:1" x14ac:dyDescent="0.25">
      <c r="A74" s="119" t="s">
        <v>178</v>
      </c>
    </row>
    <row r="75" spans="1:1" x14ac:dyDescent="0.25">
      <c r="A75" s="119" t="s">
        <v>179</v>
      </c>
    </row>
    <row r="76" spans="1:1" x14ac:dyDescent="0.25">
      <c r="A76" s="119" t="s">
        <v>180</v>
      </c>
    </row>
    <row r="77" spans="1:1" x14ac:dyDescent="0.25">
      <c r="A77" s="119" t="s">
        <v>181</v>
      </c>
    </row>
    <row r="78" spans="1:1" x14ac:dyDescent="0.25">
      <c r="A78" s="119" t="s">
        <v>182</v>
      </c>
    </row>
    <row r="79" spans="1:1" x14ac:dyDescent="0.25">
      <c r="A79" s="119" t="s">
        <v>183</v>
      </c>
    </row>
    <row r="80" spans="1:1" x14ac:dyDescent="0.25">
      <c r="A80" s="119" t="s">
        <v>184</v>
      </c>
    </row>
    <row r="81" spans="1:1" x14ac:dyDescent="0.25">
      <c r="A81" s="119" t="s">
        <v>185</v>
      </c>
    </row>
    <row r="82" spans="1:1" x14ac:dyDescent="0.25">
      <c r="A82" s="119" t="s">
        <v>186</v>
      </c>
    </row>
    <row r="83" spans="1:1" x14ac:dyDescent="0.25">
      <c r="A83" s="119" t="s">
        <v>187</v>
      </c>
    </row>
    <row r="84" spans="1:1" x14ac:dyDescent="0.25">
      <c r="A84" s="119" t="s">
        <v>188</v>
      </c>
    </row>
    <row r="85" spans="1:1" x14ac:dyDescent="0.25">
      <c r="A85" s="119" t="s">
        <v>189</v>
      </c>
    </row>
    <row r="86" spans="1:1" x14ac:dyDescent="0.25">
      <c r="A86" s="119" t="s">
        <v>190</v>
      </c>
    </row>
    <row r="87" spans="1:1" x14ac:dyDescent="0.25">
      <c r="A87" s="119" t="s">
        <v>191</v>
      </c>
    </row>
    <row r="88" spans="1:1" x14ac:dyDescent="0.25">
      <c r="A88" s="119" t="s">
        <v>192</v>
      </c>
    </row>
    <row r="89" spans="1:1" x14ac:dyDescent="0.25">
      <c r="A89" s="119" t="s">
        <v>193</v>
      </c>
    </row>
    <row r="90" spans="1:1" x14ac:dyDescent="0.25">
      <c r="A90" s="119" t="s">
        <v>194</v>
      </c>
    </row>
    <row r="91" spans="1:1" x14ac:dyDescent="0.25">
      <c r="A91" s="119" t="s">
        <v>195</v>
      </c>
    </row>
    <row r="92" spans="1:1" x14ac:dyDescent="0.25">
      <c r="A92" s="119" t="s">
        <v>196</v>
      </c>
    </row>
    <row r="93" spans="1:1" x14ac:dyDescent="0.25">
      <c r="A93" s="119" t="s">
        <v>197</v>
      </c>
    </row>
    <row r="94" spans="1:1" x14ac:dyDescent="0.25">
      <c r="A94" s="119" t="s">
        <v>198</v>
      </c>
    </row>
    <row r="95" spans="1:1" x14ac:dyDescent="0.25">
      <c r="A95" s="119" t="s">
        <v>199</v>
      </c>
    </row>
    <row r="96" spans="1:1" x14ac:dyDescent="0.25">
      <c r="A96" s="119" t="s">
        <v>200</v>
      </c>
    </row>
    <row r="97" spans="1:1" x14ac:dyDescent="0.25">
      <c r="A97" s="119" t="s">
        <v>201</v>
      </c>
    </row>
    <row r="98" spans="1:1" x14ac:dyDescent="0.25">
      <c r="A98" s="119" t="s">
        <v>202</v>
      </c>
    </row>
    <row r="99" spans="1:1" x14ac:dyDescent="0.25">
      <c r="A99" s="119" t="s">
        <v>203</v>
      </c>
    </row>
    <row r="100" spans="1:1" x14ac:dyDescent="0.25">
      <c r="A100" s="119" t="s">
        <v>204</v>
      </c>
    </row>
    <row r="101" spans="1:1" x14ac:dyDescent="0.25">
      <c r="A101" s="119" t="s">
        <v>205</v>
      </c>
    </row>
    <row r="102" spans="1:1" x14ac:dyDescent="0.25">
      <c r="A102" s="119" t="s">
        <v>206</v>
      </c>
    </row>
    <row r="103" spans="1:1" x14ac:dyDescent="0.25">
      <c r="A103" s="119" t="s">
        <v>207</v>
      </c>
    </row>
    <row r="104" spans="1:1" x14ac:dyDescent="0.25">
      <c r="A104" s="119" t="s">
        <v>208</v>
      </c>
    </row>
    <row r="105" spans="1:1" x14ac:dyDescent="0.25">
      <c r="A105" s="119" t="s">
        <v>209</v>
      </c>
    </row>
    <row r="106" spans="1:1" x14ac:dyDescent="0.25">
      <c r="A106" s="119" t="s">
        <v>210</v>
      </c>
    </row>
    <row r="107" spans="1:1" x14ac:dyDescent="0.25">
      <c r="A107" s="119" t="s">
        <v>211</v>
      </c>
    </row>
    <row r="108" spans="1:1" x14ac:dyDescent="0.25">
      <c r="A108" s="119" t="s">
        <v>212</v>
      </c>
    </row>
    <row r="109" spans="1:1" x14ac:dyDescent="0.25">
      <c r="A109" s="119" t="s">
        <v>213</v>
      </c>
    </row>
    <row r="110" spans="1:1" x14ac:dyDescent="0.25">
      <c r="A110" s="119" t="s">
        <v>214</v>
      </c>
    </row>
    <row r="111" spans="1:1" x14ac:dyDescent="0.25">
      <c r="A111" s="119" t="s">
        <v>215</v>
      </c>
    </row>
    <row r="112" spans="1:1" x14ac:dyDescent="0.25">
      <c r="A112" s="119" t="s">
        <v>216</v>
      </c>
    </row>
    <row r="113" spans="1:1" x14ac:dyDescent="0.25">
      <c r="A113" s="119" t="s">
        <v>217</v>
      </c>
    </row>
    <row r="114" spans="1:1" x14ac:dyDescent="0.25">
      <c r="A114" s="119" t="s">
        <v>218</v>
      </c>
    </row>
    <row r="115" spans="1:1" x14ac:dyDescent="0.25">
      <c r="A115" s="119" t="s">
        <v>219</v>
      </c>
    </row>
    <row r="116" spans="1:1" x14ac:dyDescent="0.25">
      <c r="A116" s="119" t="s">
        <v>220</v>
      </c>
    </row>
    <row r="117" spans="1:1" x14ac:dyDescent="0.25">
      <c r="A117" s="119" t="s">
        <v>221</v>
      </c>
    </row>
    <row r="118" spans="1:1" x14ac:dyDescent="0.25">
      <c r="A118" s="119" t="s">
        <v>222</v>
      </c>
    </row>
    <row r="119" spans="1:1" x14ac:dyDescent="0.25">
      <c r="A119" s="119" t="s">
        <v>223</v>
      </c>
    </row>
    <row r="120" spans="1:1" x14ac:dyDescent="0.25">
      <c r="A120" s="119" t="s">
        <v>224</v>
      </c>
    </row>
    <row r="121" spans="1:1" x14ac:dyDescent="0.25">
      <c r="A121" s="119" t="s">
        <v>225</v>
      </c>
    </row>
    <row r="122" spans="1:1" x14ac:dyDescent="0.25">
      <c r="A122" s="119" t="s">
        <v>226</v>
      </c>
    </row>
    <row r="123" spans="1:1" x14ac:dyDescent="0.25">
      <c r="A123" s="119" t="s">
        <v>227</v>
      </c>
    </row>
    <row r="124" spans="1:1" x14ac:dyDescent="0.25">
      <c r="A124" s="119" t="s">
        <v>228</v>
      </c>
    </row>
    <row r="125" spans="1:1" x14ac:dyDescent="0.25">
      <c r="A125" s="119" t="s">
        <v>229</v>
      </c>
    </row>
    <row r="126" spans="1:1" x14ac:dyDescent="0.25">
      <c r="A126" s="119" t="s">
        <v>230</v>
      </c>
    </row>
    <row r="127" spans="1:1" x14ac:dyDescent="0.25">
      <c r="A127" s="119" t="s">
        <v>231</v>
      </c>
    </row>
    <row r="128" spans="1:1" x14ac:dyDescent="0.25">
      <c r="A128" s="119" t="s">
        <v>232</v>
      </c>
    </row>
    <row r="129" spans="1:1" x14ac:dyDescent="0.25">
      <c r="A129" s="119" t="s">
        <v>233</v>
      </c>
    </row>
    <row r="130" spans="1:1" x14ac:dyDescent="0.25">
      <c r="A130" s="119" t="s">
        <v>234</v>
      </c>
    </row>
    <row r="131" spans="1:1" x14ac:dyDescent="0.25">
      <c r="A131" s="119" t="s">
        <v>235</v>
      </c>
    </row>
    <row r="132" spans="1:1" x14ac:dyDescent="0.25">
      <c r="A132" s="119" t="s">
        <v>236</v>
      </c>
    </row>
    <row r="133" spans="1:1" x14ac:dyDescent="0.25">
      <c r="A133" s="119" t="s">
        <v>237</v>
      </c>
    </row>
    <row r="134" spans="1:1" x14ac:dyDescent="0.25">
      <c r="A134" s="119" t="s">
        <v>238</v>
      </c>
    </row>
    <row r="135" spans="1:1" x14ac:dyDescent="0.25">
      <c r="A135" s="119" t="s">
        <v>239</v>
      </c>
    </row>
    <row r="136" spans="1:1" x14ac:dyDescent="0.25">
      <c r="A136" s="119" t="s">
        <v>240</v>
      </c>
    </row>
    <row r="137" spans="1:1" x14ac:dyDescent="0.25">
      <c r="A137" s="119" t="s">
        <v>241</v>
      </c>
    </row>
    <row r="138" spans="1:1" x14ac:dyDescent="0.25">
      <c r="A138" s="119" t="s">
        <v>242</v>
      </c>
    </row>
    <row r="139" spans="1:1" x14ac:dyDescent="0.25">
      <c r="A139" s="119" t="s">
        <v>243</v>
      </c>
    </row>
    <row r="140" spans="1:1" x14ac:dyDescent="0.25">
      <c r="A140" s="119" t="s">
        <v>244</v>
      </c>
    </row>
    <row r="141" spans="1:1" x14ac:dyDescent="0.25">
      <c r="A141" s="119" t="s">
        <v>245</v>
      </c>
    </row>
    <row r="142" spans="1:1" x14ac:dyDescent="0.25">
      <c r="A142" s="119" t="s">
        <v>246</v>
      </c>
    </row>
    <row r="143" spans="1:1" x14ac:dyDescent="0.25">
      <c r="A143" s="119" t="s">
        <v>247</v>
      </c>
    </row>
    <row r="144" spans="1:1" x14ac:dyDescent="0.25">
      <c r="A144" s="119" t="s">
        <v>248</v>
      </c>
    </row>
    <row r="145" spans="1:1" x14ac:dyDescent="0.25">
      <c r="A145" s="119" t="s">
        <v>249</v>
      </c>
    </row>
    <row r="146" spans="1:1" x14ac:dyDescent="0.25">
      <c r="A146" s="119" t="s">
        <v>250</v>
      </c>
    </row>
    <row r="147" spans="1:1" x14ac:dyDescent="0.25">
      <c r="A147" s="119" t="s">
        <v>251</v>
      </c>
    </row>
    <row r="148" spans="1:1" x14ac:dyDescent="0.25">
      <c r="A148" s="119" t="s">
        <v>252</v>
      </c>
    </row>
    <row r="149" spans="1:1" x14ac:dyDescent="0.25">
      <c r="A149" s="119" t="s">
        <v>253</v>
      </c>
    </row>
    <row r="150" spans="1:1" x14ac:dyDescent="0.25">
      <c r="A150" s="119" t="s">
        <v>254</v>
      </c>
    </row>
    <row r="151" spans="1:1" x14ac:dyDescent="0.25">
      <c r="A151" s="119" t="s">
        <v>255</v>
      </c>
    </row>
    <row r="152" spans="1:1" x14ac:dyDescent="0.25">
      <c r="A152" s="119" t="s">
        <v>256</v>
      </c>
    </row>
    <row r="153" spans="1:1" x14ac:dyDescent="0.25">
      <c r="A153" s="119" t="s">
        <v>257</v>
      </c>
    </row>
    <row r="154" spans="1:1" x14ac:dyDescent="0.25">
      <c r="A154" s="119" t="s">
        <v>258</v>
      </c>
    </row>
    <row r="155" spans="1:1" x14ac:dyDescent="0.25">
      <c r="A155" s="119" t="s">
        <v>259</v>
      </c>
    </row>
    <row r="156" spans="1:1" x14ac:dyDescent="0.25">
      <c r="A156" s="119" t="s">
        <v>260</v>
      </c>
    </row>
    <row r="157" spans="1:1" x14ac:dyDescent="0.25">
      <c r="A157" s="119" t="s">
        <v>261</v>
      </c>
    </row>
    <row r="158" spans="1:1" x14ac:dyDescent="0.25">
      <c r="A158" s="119" t="s">
        <v>262</v>
      </c>
    </row>
    <row r="159" spans="1:1" x14ac:dyDescent="0.25">
      <c r="A159" s="119" t="s">
        <v>263</v>
      </c>
    </row>
    <row r="160" spans="1:1" x14ac:dyDescent="0.25">
      <c r="A160" s="119" t="s">
        <v>264</v>
      </c>
    </row>
    <row r="161" spans="1:1" x14ac:dyDescent="0.25">
      <c r="A161" s="119" t="s">
        <v>265</v>
      </c>
    </row>
    <row r="162" spans="1:1" x14ac:dyDescent="0.25">
      <c r="A162" s="119" t="s">
        <v>266</v>
      </c>
    </row>
    <row r="163" spans="1:1" x14ac:dyDescent="0.25">
      <c r="A163" s="119" t="s">
        <v>267</v>
      </c>
    </row>
    <row r="164" spans="1:1" x14ac:dyDescent="0.25">
      <c r="A164" s="119" t="s">
        <v>268</v>
      </c>
    </row>
    <row r="165" spans="1:1" x14ac:dyDescent="0.25">
      <c r="A165" s="119" t="s">
        <v>269</v>
      </c>
    </row>
    <row r="166" spans="1:1" x14ac:dyDescent="0.25">
      <c r="A166" s="119" t="s">
        <v>270</v>
      </c>
    </row>
    <row r="167" spans="1:1" x14ac:dyDescent="0.25">
      <c r="A167" s="119" t="s">
        <v>271</v>
      </c>
    </row>
    <row r="168" spans="1:1" x14ac:dyDescent="0.25">
      <c r="A168" s="119" t="s">
        <v>272</v>
      </c>
    </row>
    <row r="169" spans="1:1" x14ac:dyDescent="0.25">
      <c r="A169" s="119" t="s">
        <v>273</v>
      </c>
    </row>
    <row r="170" spans="1:1" x14ac:dyDescent="0.25">
      <c r="A170" s="119" t="s">
        <v>274</v>
      </c>
    </row>
    <row r="171" spans="1:1" x14ac:dyDescent="0.25">
      <c r="A171" s="119" t="s">
        <v>275</v>
      </c>
    </row>
    <row r="172" spans="1:1" x14ac:dyDescent="0.25">
      <c r="A172" s="119" t="s">
        <v>276</v>
      </c>
    </row>
    <row r="173" spans="1:1" x14ac:dyDescent="0.25">
      <c r="A173" s="119" t="s">
        <v>277</v>
      </c>
    </row>
    <row r="174" spans="1:1" x14ac:dyDescent="0.25">
      <c r="A174" s="119" t="s">
        <v>278</v>
      </c>
    </row>
    <row r="175" spans="1:1" x14ac:dyDescent="0.25">
      <c r="A175" s="119" t="s">
        <v>279</v>
      </c>
    </row>
  </sheetData>
  <protectedRanges>
    <protectedRange algorithmName="SHA-512" hashValue="lKda7HspDCvXOqriKdeoSFMmY2g7NZjVlmOEuNbUJBupKoEPA1PiyzwU0lURZkGnm3yl6YKvF5MCJMJRA51wSA==" saltValue="2AjXpTqtCN81/dWFGVCLCg==" spinCount="100000" sqref="A175" name="Range1"/>
  </protectedRange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11"/>
  <sheetViews>
    <sheetView workbookViewId="0">
      <selection activeCell="A2" sqref="A2:A10"/>
    </sheetView>
  </sheetViews>
  <sheetFormatPr defaultRowHeight="15" x14ac:dyDescent="0.25"/>
  <cols>
    <col min="1" max="1" width="13.140625" bestFit="1" customWidth="1"/>
    <col min="2" max="10" width="16.28515625" bestFit="1" customWidth="1"/>
  </cols>
  <sheetData>
    <row r="1" spans="1:1" x14ac:dyDescent="0.25">
      <c r="A1" s="226" t="s">
        <v>287</v>
      </c>
    </row>
    <row r="2" spans="1:1" x14ac:dyDescent="0.25">
      <c r="A2" t="s">
        <v>288</v>
      </c>
    </row>
    <row r="3" spans="1:1" x14ac:dyDescent="0.25">
      <c r="A3" t="s">
        <v>289</v>
      </c>
    </row>
    <row r="4" spans="1:1" x14ac:dyDescent="0.25">
      <c r="A4" t="s">
        <v>290</v>
      </c>
    </row>
    <row r="5" spans="1:1" x14ac:dyDescent="0.25">
      <c r="A5" t="s">
        <v>291</v>
      </c>
    </row>
    <row r="6" spans="1:1" x14ac:dyDescent="0.25">
      <c r="A6" t="s">
        <v>292</v>
      </c>
    </row>
    <row r="7" spans="1:1" x14ac:dyDescent="0.25">
      <c r="A7" t="s">
        <v>293</v>
      </c>
    </row>
    <row r="8" spans="1:1" x14ac:dyDescent="0.25">
      <c r="A8" t="s">
        <v>294</v>
      </c>
    </row>
    <row r="9" spans="1:1" x14ac:dyDescent="0.25">
      <c r="A9" t="s">
        <v>295</v>
      </c>
    </row>
    <row r="10" spans="1:1" x14ac:dyDescent="0.25">
      <c r="A10" t="s">
        <v>296</v>
      </c>
    </row>
    <row r="11" spans="1:1" x14ac:dyDescent="0.25">
      <c r="A11" t="s">
        <v>297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Costing Model</vt:lpstr>
      <vt:lpstr>Multiple Products</vt:lpstr>
      <vt:lpstr>Bulk Product Costing</vt:lpstr>
      <vt:lpstr>NPD Product Costing</vt:lpstr>
      <vt:lpstr>Workings</vt:lpstr>
      <vt:lpstr>DataFeed</vt:lpstr>
      <vt:lpstr>Data</vt:lpstr>
      <vt:lpstr>Sheet1 (2)</vt:lpstr>
      <vt:lpstr>'Costing Model'!Print_Area</vt:lpstr>
      <vt:lpstr>DataFeed!Print_Area</vt:lpstr>
      <vt:lpstr>'NPD Product Costing'!Print_Area</vt:lpstr>
    </vt:vector>
  </TitlesOfParts>
  <Manager>Elaine Price</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Costings Model</dc:title>
  <dc:subject>Template</dc:subject>
  <dc:creator>Georgia Jones;Eric Tavares</dc:creator>
  <cp:lastModifiedBy>Eric Tavares</cp:lastModifiedBy>
  <cp:lastPrinted>2026-01-19T10:32:20Z</cp:lastPrinted>
  <dcterms:created xsi:type="dcterms:W3CDTF">2023-07-14T13:59:27Z</dcterms:created>
  <dcterms:modified xsi:type="dcterms:W3CDTF">2026-01-19T10:33:58Z</dcterms:modified>
</cp:coreProperties>
</file>